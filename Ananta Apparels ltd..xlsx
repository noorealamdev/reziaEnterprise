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32" windowWidth="23256" windowHeight="11808" tabRatio="843"/>
  </bookViews>
  <sheets>
    <sheet name="Tiffin Supply" sheetId="1" r:id="rId1"/>
    <sheet name="Tiffin Supply Wash Worker" sheetId="5" r:id="rId2"/>
    <sheet name="Diesel Oill Supply" sheetId="2" r:id="rId3"/>
    <sheet name="ETP Rubbish Removing" sheetId="3" r:id="rId4"/>
    <sheet name="Daily Besic Labour " sheetId="4" r:id="rId5"/>
    <sheet name="Loading Unloading" sheetId="6" r:id="rId6"/>
    <sheet name="Embrodiry &amp; Print" sheetId="7" r:id="rId7"/>
    <sheet name="Constraction Meterial Supply" sheetId="8" r:id="rId8"/>
    <sheet name="ETP EID Hollydays" sheetId="10" r:id="rId9"/>
    <sheet name="Bill Statmant" sheetId="12" r:id="rId10"/>
  </sheets>
  <calcPr calcId="145621"/>
</workbook>
</file>

<file path=xl/calcChain.xml><?xml version="1.0" encoding="utf-8"?>
<calcChain xmlns="http://schemas.openxmlformats.org/spreadsheetml/2006/main">
  <c r="P8" i="8" l="1"/>
  <c r="Q8" i="8"/>
  <c r="J6" i="12"/>
  <c r="M6" i="12" s="1"/>
  <c r="J7" i="12"/>
  <c r="M7" i="12" s="1"/>
  <c r="J8" i="12"/>
  <c r="M8" i="12" s="1"/>
  <c r="J9" i="12"/>
  <c r="M9" i="12" s="1"/>
  <c r="J10" i="12"/>
  <c r="M10" i="12" s="1"/>
  <c r="J11" i="12"/>
  <c r="M11" i="12" s="1"/>
  <c r="J12" i="12"/>
  <c r="J13" i="12"/>
  <c r="J14" i="12"/>
  <c r="J15" i="12"/>
  <c r="M15" i="12" s="1"/>
  <c r="J16" i="12"/>
  <c r="J17" i="12"/>
  <c r="J18" i="12"/>
  <c r="J19" i="12"/>
  <c r="J20" i="12"/>
  <c r="M20" i="12" s="1"/>
  <c r="J21" i="12"/>
  <c r="J22" i="12"/>
  <c r="M22" i="12" s="1"/>
  <c r="J23" i="12"/>
  <c r="M23" i="12" s="1"/>
  <c r="J24" i="12"/>
  <c r="J25" i="12"/>
  <c r="J26" i="12"/>
  <c r="M26" i="12" s="1"/>
  <c r="J27" i="12"/>
  <c r="M27" i="12" s="1"/>
  <c r="J28" i="12"/>
  <c r="J29" i="12"/>
  <c r="J30" i="12"/>
  <c r="M30" i="12" s="1"/>
  <c r="J31" i="12"/>
  <c r="M31" i="12" s="1"/>
  <c r="J32" i="12"/>
  <c r="J33" i="12"/>
  <c r="J34" i="12"/>
  <c r="J35" i="12"/>
  <c r="M35" i="12" s="1"/>
  <c r="J36" i="12"/>
  <c r="M36" i="12" s="1"/>
  <c r="J37" i="12"/>
  <c r="J38" i="12"/>
  <c r="M38" i="12" s="1"/>
  <c r="J39" i="12"/>
  <c r="J40" i="12"/>
  <c r="J41" i="12"/>
  <c r="M41" i="12" s="1"/>
  <c r="J42" i="12"/>
  <c r="J43" i="12"/>
  <c r="M43" i="12" s="1"/>
  <c r="J44" i="12"/>
  <c r="J45" i="12"/>
  <c r="J46" i="12"/>
  <c r="M46" i="12" s="1"/>
  <c r="J47" i="12"/>
  <c r="M47" i="12" s="1"/>
  <c r="J48" i="12"/>
  <c r="J49" i="12"/>
  <c r="J50" i="12"/>
  <c r="M50" i="12" s="1"/>
  <c r="J51" i="12"/>
  <c r="J52" i="12"/>
  <c r="M52" i="12" s="1"/>
  <c r="J53" i="12"/>
  <c r="M53" i="12" s="1"/>
  <c r="J54" i="12"/>
  <c r="M54" i="12" s="1"/>
  <c r="J55" i="12"/>
  <c r="M55" i="12" s="1"/>
  <c r="J56" i="12"/>
  <c r="J57" i="12"/>
  <c r="J58" i="12"/>
  <c r="J59" i="12"/>
  <c r="M59" i="12" s="1"/>
  <c r="J60" i="12"/>
  <c r="J61" i="12"/>
  <c r="J62" i="12"/>
  <c r="J63" i="12"/>
  <c r="M63" i="12" s="1"/>
  <c r="J64" i="12"/>
  <c r="J65" i="12"/>
  <c r="M65" i="12" s="1"/>
  <c r="J66" i="12"/>
  <c r="M66" i="12" s="1"/>
  <c r="J67" i="12"/>
  <c r="M67" i="12" s="1"/>
  <c r="J68" i="12"/>
  <c r="M68" i="12" s="1"/>
  <c r="J69" i="12"/>
  <c r="J70" i="12"/>
  <c r="M70" i="12" s="1"/>
  <c r="J71" i="12"/>
  <c r="J72" i="12"/>
  <c r="J73" i="12"/>
  <c r="J74" i="12"/>
  <c r="M74" i="12" s="1"/>
  <c r="J75" i="12"/>
  <c r="M75" i="12" s="1"/>
  <c r="J76" i="12"/>
  <c r="J77" i="12"/>
  <c r="M77" i="12" s="1"/>
  <c r="J78" i="12"/>
  <c r="M78" i="12" s="1"/>
  <c r="J79" i="12"/>
  <c r="M79" i="12" s="1"/>
  <c r="J80" i="12"/>
  <c r="J81" i="12"/>
  <c r="J82" i="12"/>
  <c r="J83" i="12"/>
  <c r="J84" i="12"/>
  <c r="M84" i="12" s="1"/>
  <c r="J85" i="12"/>
  <c r="J86" i="12"/>
  <c r="M86" i="12" s="1"/>
  <c r="J87" i="12"/>
  <c r="M87" i="12" s="1"/>
  <c r="J88" i="12"/>
  <c r="J89" i="12"/>
  <c r="J90" i="12"/>
  <c r="M90" i="12" s="1"/>
  <c r="J91" i="12"/>
  <c r="M91" i="12" s="1"/>
  <c r="J92" i="12"/>
  <c r="J93" i="12"/>
  <c r="J94" i="12"/>
  <c r="M94" i="12" s="1"/>
  <c r="J95" i="12"/>
  <c r="M95" i="12" s="1"/>
  <c r="J96" i="12"/>
  <c r="J97" i="12"/>
  <c r="J98" i="12"/>
  <c r="J99" i="12"/>
  <c r="M99" i="12" s="1"/>
  <c r="J100" i="12"/>
  <c r="M100" i="12" s="1"/>
  <c r="J101" i="12"/>
  <c r="J102" i="12"/>
  <c r="M102" i="12" s="1"/>
  <c r="J103" i="12"/>
  <c r="M103" i="12" s="1"/>
  <c r="J104" i="12"/>
  <c r="J105" i="12"/>
  <c r="J106" i="12"/>
  <c r="J107" i="12"/>
  <c r="M107" i="12" s="1"/>
  <c r="J108" i="12"/>
  <c r="J109" i="12"/>
  <c r="J110" i="12"/>
  <c r="M110" i="12" s="1"/>
  <c r="J111" i="12"/>
  <c r="M111" i="12" s="1"/>
  <c r="J112" i="12"/>
  <c r="J113" i="12"/>
  <c r="J114" i="12"/>
  <c r="M114" i="12" s="1"/>
  <c r="J115" i="12"/>
  <c r="J116" i="12"/>
  <c r="M116" i="12" s="1"/>
  <c r="J117" i="12"/>
  <c r="J118" i="12"/>
  <c r="M118" i="12" s="1"/>
  <c r="J119" i="12"/>
  <c r="M119" i="12" s="1"/>
  <c r="J120" i="12"/>
  <c r="J121" i="12"/>
  <c r="J122" i="12"/>
  <c r="J123" i="12"/>
  <c r="M123" i="12" s="1"/>
  <c r="J124" i="12"/>
  <c r="J125" i="12"/>
  <c r="J126" i="12"/>
  <c r="J127" i="12"/>
  <c r="M127" i="12" s="1"/>
  <c r="J128" i="12"/>
  <c r="J129" i="12"/>
  <c r="J130" i="12"/>
  <c r="M130" i="12" s="1"/>
  <c r="J131" i="12"/>
  <c r="M131" i="12" s="1"/>
  <c r="J132" i="12"/>
  <c r="M132" i="12" s="1"/>
  <c r="J133" i="12"/>
  <c r="J134" i="12"/>
  <c r="M134" i="12" s="1"/>
  <c r="J135" i="12"/>
  <c r="J136" i="12"/>
  <c r="J137" i="12"/>
  <c r="M137" i="12" s="1"/>
  <c r="J138" i="12"/>
  <c r="M138" i="12" s="1"/>
  <c r="J139" i="12"/>
  <c r="M139" i="12" s="1"/>
  <c r="J140" i="12"/>
  <c r="J141" i="12"/>
  <c r="J142" i="12"/>
  <c r="J143" i="12"/>
  <c r="M143" i="12" s="1"/>
  <c r="J144" i="12"/>
  <c r="J145" i="12"/>
  <c r="J146" i="12"/>
  <c r="J147" i="12"/>
  <c r="J148" i="12"/>
  <c r="M148" i="12" s="1"/>
  <c r="J149" i="12"/>
  <c r="M149" i="12" s="1"/>
  <c r="J150" i="12"/>
  <c r="M150" i="12" s="1"/>
  <c r="J151" i="12"/>
  <c r="M151" i="12" s="1"/>
  <c r="J152" i="12"/>
  <c r="J153" i="12"/>
  <c r="J154" i="12"/>
  <c r="M154" i="12" s="1"/>
  <c r="J155" i="12"/>
  <c r="M155" i="12" s="1"/>
  <c r="J156" i="12"/>
  <c r="J157" i="12"/>
  <c r="J158" i="12"/>
  <c r="M158" i="12" s="1"/>
  <c r="J159" i="12"/>
  <c r="M159" i="12" s="1"/>
  <c r="J160" i="12"/>
  <c r="J161" i="12"/>
  <c r="M161" i="12" s="1"/>
  <c r="J162" i="12"/>
  <c r="J163" i="12"/>
  <c r="M163" i="12" s="1"/>
  <c r="J164" i="12"/>
  <c r="M164" i="12" s="1"/>
  <c r="J165" i="12"/>
  <c r="J166" i="12"/>
  <c r="M166" i="12" s="1"/>
  <c r="J167" i="12"/>
  <c r="J168" i="12"/>
  <c r="J169" i="12"/>
  <c r="J170" i="12"/>
  <c r="J171" i="12"/>
  <c r="M171" i="12" s="1"/>
  <c r="J172" i="12"/>
  <c r="J173" i="12"/>
  <c r="M173" i="12" s="1"/>
  <c r="J174" i="12"/>
  <c r="M174" i="12" s="1"/>
  <c r="J175" i="12"/>
  <c r="M175" i="12" s="1"/>
  <c r="J176" i="12"/>
  <c r="J177" i="12"/>
  <c r="J178" i="12"/>
  <c r="M178" i="12" s="1"/>
  <c r="J179" i="12"/>
  <c r="J180" i="12"/>
  <c r="M180" i="12" s="1"/>
  <c r="J181" i="12"/>
  <c r="J182" i="12"/>
  <c r="M182" i="12" s="1"/>
  <c r="J183" i="12"/>
  <c r="M183" i="12" s="1"/>
  <c r="J184" i="12"/>
  <c r="J185" i="12"/>
  <c r="J186" i="12"/>
  <c r="M186" i="12" s="1"/>
  <c r="J187" i="12"/>
  <c r="M187" i="12" s="1"/>
  <c r="J188" i="12"/>
  <c r="J189" i="12"/>
  <c r="J190" i="12"/>
  <c r="J191" i="12"/>
  <c r="M191" i="12" s="1"/>
  <c r="J192" i="12"/>
  <c r="J193" i="12"/>
  <c r="J194" i="12"/>
  <c r="M194" i="12" s="1"/>
  <c r="J195" i="12"/>
  <c r="M195" i="12" s="1"/>
  <c r="J196" i="12"/>
  <c r="M196" i="12" s="1"/>
  <c r="J197" i="12"/>
  <c r="J198" i="12"/>
  <c r="M198" i="12" s="1"/>
  <c r="J199" i="12"/>
  <c r="M199" i="12" s="1"/>
  <c r="J200" i="12"/>
  <c r="J201" i="12"/>
  <c r="J202" i="12"/>
  <c r="M202" i="12" s="1"/>
  <c r="M14" i="12"/>
  <c r="M18" i="12"/>
  <c r="M34" i="12"/>
  <c r="M42" i="12"/>
  <c r="M58" i="12"/>
  <c r="M62" i="12"/>
  <c r="M82" i="12"/>
  <c r="M98" i="12"/>
  <c r="M106" i="12"/>
  <c r="M122" i="12"/>
  <c r="M126" i="12"/>
  <c r="M142" i="12"/>
  <c r="M146" i="12"/>
  <c r="M162" i="12"/>
  <c r="M170" i="12"/>
  <c r="M190" i="12"/>
  <c r="M12" i="12"/>
  <c r="M13" i="12"/>
  <c r="M16" i="12"/>
  <c r="M17" i="12"/>
  <c r="M19" i="12"/>
  <c r="M21" i="12"/>
  <c r="M24" i="12"/>
  <c r="M25" i="12"/>
  <c r="M28" i="12"/>
  <c r="M29" i="12"/>
  <c r="M32" i="12"/>
  <c r="M33" i="12"/>
  <c r="M37" i="12"/>
  <c r="M39" i="12"/>
  <c r="M40" i="12"/>
  <c r="M44" i="12"/>
  <c r="M45" i="12"/>
  <c r="M48" i="12"/>
  <c r="M49" i="12"/>
  <c r="M51" i="12"/>
  <c r="M56" i="12"/>
  <c r="M57" i="12"/>
  <c r="M60" i="12"/>
  <c r="M61" i="12"/>
  <c r="M64" i="12"/>
  <c r="M69" i="12"/>
  <c r="M71" i="12"/>
  <c r="M72" i="12"/>
  <c r="M73" i="12"/>
  <c r="M76" i="12"/>
  <c r="M80" i="12"/>
  <c r="M81" i="12"/>
  <c r="M83" i="12"/>
  <c r="M85" i="12"/>
  <c r="M88" i="12"/>
  <c r="M89" i="12"/>
  <c r="M92" i="12"/>
  <c r="M93" i="12"/>
  <c r="M96" i="12"/>
  <c r="M97" i="12"/>
  <c r="M101" i="12"/>
  <c r="M104" i="12"/>
  <c r="M105" i="12"/>
  <c r="M108" i="12"/>
  <c r="M109" i="12"/>
  <c r="M112" i="12"/>
  <c r="M113" i="12"/>
  <c r="M115" i="12"/>
  <c r="M117" i="12"/>
  <c r="M120" i="12"/>
  <c r="M121" i="12"/>
  <c r="M124" i="12"/>
  <c r="M125" i="12"/>
  <c r="M128" i="12"/>
  <c r="M129" i="12"/>
  <c r="M133" i="12"/>
  <c r="M135" i="12"/>
  <c r="M136" i="12"/>
  <c r="M140" i="12"/>
  <c r="M141" i="12"/>
  <c r="M144" i="12"/>
  <c r="M145" i="12"/>
  <c r="M147" i="12"/>
  <c r="M152" i="12"/>
  <c r="M153" i="12"/>
  <c r="M156" i="12"/>
  <c r="M157" i="12"/>
  <c r="M160" i="12"/>
  <c r="M165" i="12"/>
  <c r="M167" i="12"/>
  <c r="M168" i="12"/>
  <c r="M169" i="12"/>
  <c r="M172" i="12"/>
  <c r="M176" i="12"/>
  <c r="M177" i="12"/>
  <c r="M179" i="12"/>
  <c r="M181" i="12"/>
  <c r="M184" i="12"/>
  <c r="M185" i="12"/>
  <c r="M188" i="12"/>
  <c r="M189" i="12"/>
  <c r="M192" i="12"/>
  <c r="M193" i="12"/>
  <c r="M197" i="12"/>
  <c r="M200" i="12"/>
  <c r="M201" i="12"/>
  <c r="J5" i="12"/>
  <c r="M5" i="12" s="1"/>
  <c r="J4" i="12"/>
  <c r="M4" i="12" s="1"/>
  <c r="J3" i="12"/>
  <c r="L3" i="12" s="1"/>
  <c r="K4" i="2"/>
  <c r="M3" i="12" l="1"/>
  <c r="K203" i="12"/>
  <c r="L203" i="12"/>
  <c r="N6" i="10" l="1"/>
  <c r="Q6" i="10" s="1"/>
  <c r="I6" i="10"/>
  <c r="I7" i="10"/>
  <c r="I8" i="10"/>
  <c r="I9" i="10"/>
  <c r="I10" i="10"/>
  <c r="I11" i="10"/>
  <c r="I12" i="10"/>
  <c r="I13" i="10"/>
  <c r="I14" i="10"/>
  <c r="N5" i="10" l="1"/>
  <c r="F16" i="10"/>
  <c r="J14" i="8"/>
  <c r="K14" i="8" s="1"/>
  <c r="H14" i="8"/>
  <c r="J13" i="8"/>
  <c r="H13" i="8"/>
  <c r="J12" i="8"/>
  <c r="H12" i="8"/>
  <c r="J11" i="8"/>
  <c r="H11" i="8"/>
  <c r="J10" i="8"/>
  <c r="H10" i="8"/>
  <c r="J9" i="8"/>
  <c r="H9" i="8"/>
  <c r="S8" i="8"/>
  <c r="J8" i="8"/>
  <c r="H8" i="8"/>
  <c r="J7" i="8"/>
  <c r="K7" i="8" s="1"/>
  <c r="H7" i="8"/>
  <c r="J6" i="8"/>
  <c r="H6" i="8"/>
  <c r="J5" i="8"/>
  <c r="K5" i="8" s="1"/>
  <c r="H5" i="8"/>
  <c r="O5" i="2"/>
  <c r="O6" i="2"/>
  <c r="O7" i="2"/>
  <c r="O8" i="2"/>
  <c r="O9" i="2"/>
  <c r="O10" i="2"/>
  <c r="O11" i="2"/>
  <c r="S8" i="7"/>
  <c r="V8" i="7" s="1"/>
  <c r="L7" i="7"/>
  <c r="M7" i="7" s="1"/>
  <c r="N7" i="7" s="1"/>
  <c r="L6" i="7"/>
  <c r="M6" i="7" s="1"/>
  <c r="L8" i="7"/>
  <c r="M8" i="7" s="1"/>
  <c r="N8" i="7" s="1"/>
  <c r="L9" i="7"/>
  <c r="M9" i="7" s="1"/>
  <c r="N9" i="7" s="1"/>
  <c r="L10" i="7"/>
  <c r="M10" i="7" s="1"/>
  <c r="N10" i="7" s="1"/>
  <c r="L11" i="7"/>
  <c r="M11" i="7" s="1"/>
  <c r="L12" i="7"/>
  <c r="M12" i="7" s="1"/>
  <c r="L5" i="7"/>
  <c r="M5" i="7" s="1"/>
  <c r="N5" i="7" s="1"/>
  <c r="J12" i="7"/>
  <c r="J11" i="7"/>
  <c r="J10" i="7"/>
  <c r="J9" i="7"/>
  <c r="J8" i="7"/>
  <c r="J7" i="7"/>
  <c r="J6" i="7"/>
  <c r="J5" i="7"/>
  <c r="N11" i="7" l="1"/>
  <c r="N12" i="7"/>
  <c r="N6" i="7"/>
  <c r="Q5" i="10"/>
  <c r="I5" i="10"/>
  <c r="I16" i="10" s="1"/>
  <c r="H16" i="10"/>
  <c r="K10" i="8"/>
  <c r="K6" i="8"/>
  <c r="K9" i="8"/>
  <c r="K8" i="8"/>
  <c r="H16" i="8"/>
  <c r="K11" i="8"/>
  <c r="K13" i="8"/>
  <c r="K12" i="8"/>
  <c r="J16" i="8"/>
  <c r="L16" i="7"/>
  <c r="J16" i="7"/>
  <c r="K16" i="8" l="1"/>
  <c r="N16" i="7"/>
  <c r="J6" i="6" l="1"/>
  <c r="K6" i="6" s="1"/>
  <c r="H6" i="6"/>
  <c r="P9" i="6" l="1"/>
  <c r="S9" i="6" s="1"/>
  <c r="J8" i="6"/>
  <c r="H8" i="6"/>
  <c r="J7" i="6"/>
  <c r="K7" i="6" s="1"/>
  <c r="H7" i="6"/>
  <c r="J5" i="6"/>
  <c r="H5" i="6"/>
  <c r="H17" i="6" s="1"/>
  <c r="M35" i="5"/>
  <c r="L35" i="5"/>
  <c r="F35" i="5"/>
  <c r="E35" i="5"/>
  <c r="M34" i="5"/>
  <c r="L34" i="5"/>
  <c r="F34" i="5"/>
  <c r="E34" i="5"/>
  <c r="N34" i="5" s="1"/>
  <c r="M33" i="5"/>
  <c r="L33" i="5"/>
  <c r="F33" i="5"/>
  <c r="E33" i="5"/>
  <c r="N33" i="5" s="1"/>
  <c r="M32" i="5"/>
  <c r="L32" i="5"/>
  <c r="F32" i="5"/>
  <c r="E32" i="5"/>
  <c r="M31" i="5"/>
  <c r="L31" i="5"/>
  <c r="F31" i="5"/>
  <c r="E31" i="5"/>
  <c r="M30" i="5"/>
  <c r="L30" i="5"/>
  <c r="F30" i="5"/>
  <c r="E30" i="5"/>
  <c r="N30" i="5" s="1"/>
  <c r="M29" i="5"/>
  <c r="L29" i="5"/>
  <c r="F29" i="5"/>
  <c r="E29" i="5"/>
  <c r="N29" i="5" s="1"/>
  <c r="M28" i="5"/>
  <c r="L28" i="5"/>
  <c r="F28" i="5"/>
  <c r="E28" i="5"/>
  <c r="M27" i="5"/>
  <c r="L27" i="5"/>
  <c r="F27" i="5"/>
  <c r="E27" i="5"/>
  <c r="M26" i="5"/>
  <c r="L26" i="5"/>
  <c r="F26" i="5"/>
  <c r="E26" i="5"/>
  <c r="N26" i="5" s="1"/>
  <c r="M25" i="5"/>
  <c r="L25" i="5"/>
  <c r="F25" i="5"/>
  <c r="E25" i="5"/>
  <c r="N25" i="5" s="1"/>
  <c r="M24" i="5"/>
  <c r="L24" i="5"/>
  <c r="F24" i="5"/>
  <c r="E24" i="5"/>
  <c r="M23" i="5"/>
  <c r="L23" i="5"/>
  <c r="F23" i="5"/>
  <c r="E23" i="5"/>
  <c r="M22" i="5"/>
  <c r="L22" i="5"/>
  <c r="F22" i="5"/>
  <c r="E22" i="5"/>
  <c r="N22" i="5" s="1"/>
  <c r="M21" i="5"/>
  <c r="L21" i="5"/>
  <c r="F21" i="5"/>
  <c r="E21" i="5"/>
  <c r="N21" i="5" s="1"/>
  <c r="M20" i="5"/>
  <c r="L20" i="5"/>
  <c r="F20" i="5"/>
  <c r="E20" i="5"/>
  <c r="M19" i="5"/>
  <c r="L19" i="5"/>
  <c r="F19" i="5"/>
  <c r="E19" i="5"/>
  <c r="M18" i="5"/>
  <c r="L18" i="5"/>
  <c r="F18" i="5"/>
  <c r="E18" i="5"/>
  <c r="M17" i="5"/>
  <c r="L17" i="5"/>
  <c r="F17" i="5"/>
  <c r="E17" i="5"/>
  <c r="M16" i="5"/>
  <c r="L16" i="5"/>
  <c r="F16" i="5"/>
  <c r="E16" i="5"/>
  <c r="M15" i="5"/>
  <c r="L15" i="5"/>
  <c r="F15" i="5"/>
  <c r="E15" i="5"/>
  <c r="M14" i="5"/>
  <c r="L14" i="5"/>
  <c r="F14" i="5"/>
  <c r="E14" i="5"/>
  <c r="M13" i="5"/>
  <c r="L13" i="5"/>
  <c r="F13" i="5"/>
  <c r="E13" i="5"/>
  <c r="M12" i="5"/>
  <c r="L12" i="5"/>
  <c r="F12" i="5"/>
  <c r="E12" i="5"/>
  <c r="M11" i="5"/>
  <c r="L11" i="5"/>
  <c r="F11" i="5"/>
  <c r="E11" i="5"/>
  <c r="M10" i="5"/>
  <c r="L10" i="5"/>
  <c r="F10" i="5"/>
  <c r="E10" i="5"/>
  <c r="M9" i="5"/>
  <c r="L9" i="5"/>
  <c r="F9" i="5"/>
  <c r="E9" i="5"/>
  <c r="M8" i="5"/>
  <c r="L8" i="5"/>
  <c r="F8" i="5"/>
  <c r="E8" i="5"/>
  <c r="M7" i="5"/>
  <c r="L7" i="5"/>
  <c r="F7" i="5"/>
  <c r="E7" i="5"/>
  <c r="M6" i="5"/>
  <c r="L6" i="5"/>
  <c r="F6" i="5"/>
  <c r="E6" i="5"/>
  <c r="N6" i="5" s="1"/>
  <c r="M5" i="5"/>
  <c r="L5" i="5"/>
  <c r="F5" i="5"/>
  <c r="E5" i="5"/>
  <c r="N5" i="5" s="1"/>
  <c r="N20" i="5" l="1"/>
  <c r="N35" i="5"/>
  <c r="N24" i="5"/>
  <c r="N27" i="5"/>
  <c r="N32" i="5"/>
  <c r="N23" i="5"/>
  <c r="N28" i="5"/>
  <c r="N31" i="5"/>
  <c r="K8" i="6"/>
  <c r="K5" i="6"/>
  <c r="J17" i="6"/>
  <c r="N9" i="5"/>
  <c r="N10" i="5"/>
  <c r="N13" i="5"/>
  <c r="N14" i="5"/>
  <c r="N17" i="5"/>
  <c r="N18" i="5"/>
  <c r="N8" i="5"/>
  <c r="N12" i="5"/>
  <c r="N19" i="5"/>
  <c r="N7" i="5"/>
  <c r="N11" i="5"/>
  <c r="N15" i="5"/>
  <c r="N16" i="5"/>
  <c r="K17" i="6" l="1"/>
  <c r="J14" i="3" l="1"/>
  <c r="H14" i="3"/>
  <c r="J13" i="3"/>
  <c r="K13" i="3" s="1"/>
  <c r="H13" i="3"/>
  <c r="J12" i="3"/>
  <c r="H12" i="3"/>
  <c r="J11" i="3"/>
  <c r="H11" i="3"/>
  <c r="J10" i="3"/>
  <c r="H10" i="3"/>
  <c r="J9" i="3"/>
  <c r="H9" i="3"/>
  <c r="P8" i="3"/>
  <c r="S8" i="3" s="1"/>
  <c r="J8" i="3"/>
  <c r="H8" i="3"/>
  <c r="J7" i="3"/>
  <c r="K7" i="3" s="1"/>
  <c r="H7" i="3"/>
  <c r="J6" i="3"/>
  <c r="H6" i="3"/>
  <c r="J5" i="3"/>
  <c r="H5" i="3"/>
  <c r="P8" i="4"/>
  <c r="K14" i="4"/>
  <c r="K5" i="4"/>
  <c r="J6" i="4"/>
  <c r="K6" i="4" s="1"/>
  <c r="J7" i="4"/>
  <c r="K7" i="4" s="1"/>
  <c r="J8" i="4"/>
  <c r="J9" i="4"/>
  <c r="J10" i="4"/>
  <c r="K10" i="4" s="1"/>
  <c r="J11" i="4"/>
  <c r="K11" i="4" s="1"/>
  <c r="J12" i="4"/>
  <c r="J13" i="4"/>
  <c r="J14" i="4"/>
  <c r="J5" i="4"/>
  <c r="H6" i="4"/>
  <c r="H7" i="4"/>
  <c r="H8" i="4"/>
  <c r="K8" i="4" s="1"/>
  <c r="H9" i="4"/>
  <c r="K9" i="4" s="1"/>
  <c r="H10" i="4"/>
  <c r="H11" i="4"/>
  <c r="H12" i="4"/>
  <c r="K12" i="4" s="1"/>
  <c r="H13" i="4"/>
  <c r="K13" i="4" s="1"/>
  <c r="H14" i="4"/>
  <c r="H5" i="4"/>
  <c r="K16" i="4" l="1"/>
  <c r="J16" i="4"/>
  <c r="H16" i="4"/>
  <c r="K9" i="3"/>
  <c r="K10" i="3"/>
  <c r="K12" i="3"/>
  <c r="K6" i="3"/>
  <c r="K14" i="3"/>
  <c r="H16" i="3"/>
  <c r="K8" i="3"/>
  <c r="K11" i="3"/>
  <c r="K5" i="3"/>
  <c r="J16" i="3"/>
  <c r="S8" i="4"/>
  <c r="K16" i="3" l="1"/>
  <c r="K5" i="2" l="1"/>
  <c r="N5" i="2" s="1"/>
  <c r="L4" i="2"/>
  <c r="N4" i="2" l="1"/>
  <c r="O4" i="2"/>
  <c r="D37" i="1"/>
  <c r="E37" i="1" s="1"/>
  <c r="K36" i="1"/>
  <c r="M38" i="1" s="1"/>
  <c r="E36" i="1"/>
  <c r="D35" i="1"/>
  <c r="E35" i="1" s="1"/>
  <c r="D32" i="1"/>
  <c r="E32" i="1" s="1"/>
  <c r="K31" i="1"/>
  <c r="M33" i="1" s="1"/>
  <c r="E31" i="1"/>
  <c r="D30" i="1"/>
  <c r="E30" i="1" s="1"/>
  <c r="D27" i="1"/>
  <c r="E27" i="1" s="1"/>
  <c r="K26" i="1"/>
  <c r="M28" i="1" s="1"/>
  <c r="E26" i="1"/>
  <c r="D25" i="1"/>
  <c r="E25" i="1" s="1"/>
  <c r="D22" i="1"/>
  <c r="E22" i="1" s="1"/>
  <c r="K21" i="1"/>
  <c r="M23" i="1" s="1"/>
  <c r="E21" i="1"/>
  <c r="D20" i="1"/>
  <c r="E20" i="1" s="1"/>
  <c r="D17" i="1"/>
  <c r="E17" i="1" s="1"/>
  <c r="K16" i="1"/>
  <c r="M18" i="1" s="1"/>
  <c r="E16" i="1"/>
  <c r="D15" i="1"/>
  <c r="E15" i="1" s="1"/>
  <c r="D12" i="1"/>
  <c r="E12" i="1" s="1"/>
  <c r="K11" i="1"/>
  <c r="M13" i="1" s="1"/>
  <c r="E11" i="1"/>
  <c r="D10" i="1"/>
  <c r="E10" i="1" s="1"/>
  <c r="D7" i="1"/>
  <c r="E7" i="1" s="1"/>
  <c r="K6" i="1"/>
  <c r="L6" i="1" s="1"/>
  <c r="E6" i="1"/>
  <c r="D5" i="1"/>
  <c r="E5" i="1" s="1"/>
  <c r="F23" i="1" l="1"/>
  <c r="F28" i="1"/>
  <c r="N28" i="1" s="1"/>
  <c r="F33" i="1"/>
  <c r="N33" i="1" s="1"/>
  <c r="F38" i="1"/>
  <c r="N38" i="1" s="1"/>
  <c r="F8" i="1"/>
  <c r="N23" i="1"/>
  <c r="F13" i="1"/>
  <c r="N13" i="1" s="1"/>
  <c r="F18" i="1"/>
  <c r="N18" i="1" s="1"/>
  <c r="M8" i="1"/>
  <c r="L16" i="1"/>
  <c r="L36" i="1"/>
  <c r="L11" i="1"/>
  <c r="L21" i="1"/>
  <c r="L31" i="1"/>
  <c r="L26" i="1"/>
  <c r="N8" i="1" l="1"/>
</calcChain>
</file>

<file path=xl/sharedStrings.xml><?xml version="1.0" encoding="utf-8"?>
<sst xmlns="http://schemas.openxmlformats.org/spreadsheetml/2006/main" count="553" uniqueCount="115">
  <si>
    <t>Ananta Swing</t>
  </si>
  <si>
    <t>Date</t>
  </si>
  <si>
    <t>Suppliy</t>
  </si>
  <si>
    <t>Rate</t>
  </si>
  <si>
    <t>Quntity</t>
  </si>
  <si>
    <t>Taka</t>
  </si>
  <si>
    <t>Nit Cost Amount</t>
  </si>
  <si>
    <t>Nit Bill Amount</t>
  </si>
  <si>
    <t>Daily Profit</t>
  </si>
  <si>
    <t>Egg</t>
  </si>
  <si>
    <t>Banana</t>
  </si>
  <si>
    <t>Alltime</t>
  </si>
  <si>
    <t>Total</t>
  </si>
  <si>
    <t>Off Day</t>
  </si>
  <si>
    <t>Friday</t>
  </si>
  <si>
    <t>Ananta Apparels Ltd</t>
  </si>
  <si>
    <t>Diesel Oill Supply</t>
  </si>
  <si>
    <t>SL No.</t>
  </si>
  <si>
    <t>Invoice Number</t>
  </si>
  <si>
    <t>Invoice Amount</t>
  </si>
  <si>
    <t>Vat/Tax</t>
  </si>
  <si>
    <t>Net Paid Amount</t>
  </si>
  <si>
    <t>Cheque No</t>
  </si>
  <si>
    <t>Description</t>
  </si>
  <si>
    <t>Remarks</t>
  </si>
  <si>
    <t>Diasel Oill Supply (2200 Ltr) 10 Barrel</t>
  </si>
  <si>
    <t>paid</t>
  </si>
  <si>
    <t>Diasel Oill Supply (1760 Ltr) 08 Barrel</t>
  </si>
  <si>
    <t>Unpaid</t>
  </si>
  <si>
    <t>Supply Fectory</t>
  </si>
  <si>
    <t>Rezia Enterprise</t>
  </si>
  <si>
    <t>Supply Date</t>
  </si>
  <si>
    <t>Thought</t>
  </si>
  <si>
    <t>Challan No.</t>
  </si>
  <si>
    <t>Due Amount</t>
  </si>
  <si>
    <t>RE/AAL/Diesel-01</t>
  </si>
  <si>
    <t>RE/AAL/Diesel-02</t>
  </si>
  <si>
    <t>Sagor vai</t>
  </si>
  <si>
    <t>Mr.Romel</t>
  </si>
  <si>
    <t>Invoice Send Date</t>
  </si>
  <si>
    <t>Invoice Recive Date</t>
  </si>
  <si>
    <t xml:space="preserve"> Fectory</t>
  </si>
  <si>
    <t>Mr.Monir</t>
  </si>
  <si>
    <t>Supply</t>
  </si>
  <si>
    <t>Supply Quntity</t>
  </si>
  <si>
    <t>Dump Truck Supply</t>
  </si>
  <si>
    <t>Rubbish (pumice Stone)  Cleaning and Dispose Out Side Of BEPZA</t>
  </si>
  <si>
    <t xml:space="preserve">Daily Besic Labour </t>
  </si>
  <si>
    <t>Cost Rate</t>
  </si>
  <si>
    <t>Invest Amount</t>
  </si>
  <si>
    <t>Daily Besic Labour Supply</t>
  </si>
  <si>
    <t>Invoice Bill Amount</t>
  </si>
  <si>
    <t>Bill Rate</t>
  </si>
  <si>
    <t>Bill Amount</t>
  </si>
  <si>
    <t>Profit Amount</t>
  </si>
  <si>
    <t>Ananta Wash Worker</t>
  </si>
  <si>
    <t>Milk</t>
  </si>
  <si>
    <t xml:space="preserve"> </t>
  </si>
  <si>
    <t>`</t>
  </si>
  <si>
    <t>Sagor Vai</t>
  </si>
  <si>
    <r>
      <t xml:space="preserve">Loading-Unloading  </t>
    </r>
    <r>
      <rPr>
        <b/>
        <sz val="9"/>
        <color theme="1"/>
        <rFont val="Arial"/>
        <family val="2"/>
      </rPr>
      <t>(Emeodery Floor)</t>
    </r>
  </si>
  <si>
    <r>
      <t xml:space="preserve">Loading-Unloading  </t>
    </r>
    <r>
      <rPr>
        <b/>
        <sz val="9"/>
        <color theme="1"/>
        <rFont val="Arial"/>
        <family val="2"/>
      </rPr>
      <t>(Mazzanine Floor)</t>
    </r>
  </si>
  <si>
    <t>RE/AAL/Load-Unload-01</t>
  </si>
  <si>
    <t>Loading unloading</t>
  </si>
  <si>
    <t>Embrodiery Work</t>
  </si>
  <si>
    <t>BDT Convert Amount</t>
  </si>
  <si>
    <t>Buyer</t>
  </si>
  <si>
    <t>Amarican  Eagle</t>
  </si>
  <si>
    <t>Style</t>
  </si>
  <si>
    <t>Embrodiry Bill</t>
  </si>
  <si>
    <t>Costing Amount</t>
  </si>
  <si>
    <t>Profit</t>
  </si>
  <si>
    <t>Constraction Meterial Supply</t>
  </si>
  <si>
    <t>Local Sand Supply</t>
  </si>
  <si>
    <t>Jamuna Sand Supply</t>
  </si>
  <si>
    <t xml:space="preserve">Stone Supply </t>
  </si>
  <si>
    <t>Cement Supply</t>
  </si>
  <si>
    <t>Brick Supply</t>
  </si>
  <si>
    <t>Rebar supply</t>
  </si>
  <si>
    <t>Company Adv Payment</t>
  </si>
  <si>
    <t>ETP Tank Cleaning During (Eid al-Adha) Eid Holidays</t>
  </si>
  <si>
    <t>ETP Tank Cleaning During (Eid al-Fitr) Eid Holidays</t>
  </si>
  <si>
    <t>RE/AAL/ETP-EID-02</t>
  </si>
  <si>
    <t>RE/AAL/ETP-EID-01</t>
  </si>
  <si>
    <t>RE/AAL/CMS-01</t>
  </si>
  <si>
    <t>RE/AAL/DiBL-01</t>
  </si>
  <si>
    <t>RE/AAL/RRW-01</t>
  </si>
  <si>
    <t>Paid</t>
  </si>
  <si>
    <t>BILL STATEMENT / PAYMENT TRACKER</t>
  </si>
  <si>
    <t>SL</t>
  </si>
  <si>
    <t>Bill / Invoice No.</t>
  </si>
  <si>
    <t>Service / Work Description</t>
  </si>
  <si>
    <t>Department / Site</t>
  </si>
  <si>
    <t>VAT / Tax</t>
  </si>
  <si>
    <t>Gross Amount</t>
  </si>
  <si>
    <t>Net Payable</t>
  </si>
  <si>
    <t>Payment Status</t>
  </si>
  <si>
    <t>Payment Date</t>
  </si>
  <si>
    <t>Payment Ref. / Cheque No.</t>
  </si>
  <si>
    <t>TOTAL</t>
  </si>
  <si>
    <t>Bill Sending Date</t>
  </si>
  <si>
    <t xml:space="preserve"> Vendor Name</t>
  </si>
  <si>
    <t>Company Name</t>
  </si>
  <si>
    <t>Bill Reciving Date</t>
  </si>
  <si>
    <t>Payment Bank</t>
  </si>
  <si>
    <t>Prime Bank</t>
  </si>
  <si>
    <t>Ananta Apparels ltd</t>
  </si>
  <si>
    <t>Mentanains</t>
  </si>
  <si>
    <t>Admin</t>
  </si>
  <si>
    <t>Loading Unloading Month of Jun-2026</t>
  </si>
  <si>
    <t>Daily Besic Labour Supply Month of Jul-2026</t>
  </si>
  <si>
    <t>Loading Unloading Month of Jul-2026</t>
  </si>
  <si>
    <t>Daily Besic Labour Supply month of jul-2026</t>
  </si>
  <si>
    <t>Constraction Meterials Supply Month of Jul-2026</t>
  </si>
  <si>
    <t>Bread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</si>
</sst>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7" formatCode="&quot;$&quot;#,##0.00_);\(&quot;$&quot;#,##0.00\)"/>
    <numFmt numFmtId="8" formatCode="&quot;$&quot;#,##0.00_);[Red]\(&quot;$&quot;#,##0.00\)"/>
    <numFmt numFmtId="164" formatCode="[$-5000445]0"/>
    <numFmt numFmtId="165" formatCode="#,##0.0[$৳-845]"/>
    <numFmt numFmtId="166" formatCode="#,##0.00[$৳-845]"/>
    <numFmt numFmtId="167" formatCode="#,##0.00[$৳-845];[Red]\-#,##0.00[$৳-845]"/>
    <numFmt numFmtId="168" formatCode="dd\-mmm\-yyyy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5"/>
      <color rgb="FFFFFFFF"/>
      <name val="Google Sans"/>
    </font>
    <font>
      <b/>
      <sz val="10"/>
      <color rgb="FFFFFFFF"/>
      <name val="Arial"/>
      <family val="2"/>
    </font>
    <font>
      <b/>
      <sz val="11"/>
      <color theme="0"/>
      <name val="Arial"/>
      <family val="2"/>
    </font>
    <font>
      <b/>
      <sz val="14"/>
      <color rgb="FFFF0000"/>
      <name val="Cambria"/>
      <family val="1"/>
      <scheme val="major"/>
    </font>
    <font>
      <b/>
      <sz val="11"/>
      <color rgb="FFFF0000"/>
      <name val="Calibri"/>
      <family val="2"/>
      <scheme val="minor"/>
    </font>
    <font>
      <b/>
      <sz val="16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Cambria"/>
      <family val="1"/>
      <scheme val="major"/>
    </font>
    <font>
      <b/>
      <sz val="9"/>
      <color rgb="FFFF0000"/>
      <name val="Arial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9"/>
      <color theme="1"/>
      <name val="Arial"/>
      <family val="2"/>
    </font>
    <font>
      <b/>
      <sz val="18"/>
      <color rgb="FFFFFFFF"/>
      <name val="Calibri"/>
      <family val="2"/>
    </font>
    <font>
      <b/>
      <sz val="11"/>
      <color rgb="FFFFFFF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8FAFC"/>
      </patternFill>
    </fill>
  </fills>
  <borders count="20">
    <border>
      <left/>
      <right/>
      <top/>
      <bottom/>
      <diagonal/>
    </border>
    <border>
      <left/>
      <right/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206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CCCCC"/>
      </right>
      <top/>
      <bottom style="thin">
        <color indexed="64"/>
      </bottom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wrapText="1"/>
    </xf>
    <xf numFmtId="0" fontId="0" fillId="0" borderId="0" xfId="0" applyBorder="1"/>
    <xf numFmtId="0" fontId="0" fillId="0" borderId="0" xfId="0" applyFill="1" applyBorder="1"/>
    <xf numFmtId="0" fontId="0" fillId="5" borderId="0" xfId="0" applyFill="1" applyBorder="1"/>
    <xf numFmtId="0" fontId="0" fillId="6" borderId="0" xfId="0" applyFill="1" applyBorder="1"/>
    <xf numFmtId="0" fontId="0" fillId="0" borderId="0" xfId="0" applyBorder="1" applyAlignment="1">
      <alignment vertical="center"/>
    </xf>
    <xf numFmtId="0" fontId="1" fillId="0" borderId="0" xfId="0" applyFont="1" applyBorder="1"/>
    <xf numFmtId="0" fontId="0" fillId="7" borderId="0" xfId="0" applyFill="1" applyBorder="1"/>
    <xf numFmtId="16" fontId="0" fillId="7" borderId="0" xfId="0" applyNumberFormat="1" applyFill="1" applyBorder="1"/>
    <xf numFmtId="0" fontId="0" fillId="7" borderId="0" xfId="0" applyFill="1" applyBorder="1" applyAlignment="1">
      <alignment textRotation="45"/>
    </xf>
    <xf numFmtId="0" fontId="7" fillId="0" borderId="0" xfId="0" applyFont="1" applyBorder="1" applyAlignment="1">
      <alignment horizontal="center"/>
    </xf>
    <xf numFmtId="164" fontId="0" fillId="6" borderId="0" xfId="0" applyNumberFormat="1" applyFill="1" applyBorder="1"/>
    <xf numFmtId="0" fontId="4" fillId="8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9" fillId="0" borderId="0" xfId="0" applyFont="1" applyBorder="1" applyAlignment="1">
      <alignment horizontal="center" vertical="center" wrapText="1"/>
    </xf>
    <xf numFmtId="165" fontId="9" fillId="5" borderId="4" xfId="0" applyNumberFormat="1" applyFont="1" applyFill="1" applyBorder="1" applyAlignment="1">
      <alignment vertical="center" wrapText="1"/>
    </xf>
    <xf numFmtId="166" fontId="8" fillId="5" borderId="5" xfId="0" applyNumberFormat="1" applyFont="1" applyFill="1" applyBorder="1" applyAlignment="1">
      <alignment vertical="center" wrapText="1"/>
    </xf>
    <xf numFmtId="165" fontId="9" fillId="5" borderId="6" xfId="0" applyNumberFormat="1" applyFont="1" applyFill="1" applyBorder="1" applyAlignment="1">
      <alignment vertical="center" wrapText="1"/>
    </xf>
    <xf numFmtId="15" fontId="10" fillId="5" borderId="3" xfId="0" applyNumberFormat="1" applyFont="1" applyFill="1" applyBorder="1" applyAlignment="1">
      <alignment horizontal="center" vertical="center" wrapText="1"/>
    </xf>
    <xf numFmtId="0" fontId="10" fillId="5" borderId="3" xfId="0" applyNumberFormat="1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4" fillId="8" borderId="0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5" fontId="0" fillId="0" borderId="6" xfId="0" applyNumberFormat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5" borderId="6" xfId="0" applyFill="1" applyBorder="1" applyAlignment="1">
      <alignment horizontal="center"/>
    </xf>
    <xf numFmtId="0" fontId="0" fillId="9" borderId="6" xfId="0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0" fontId="0" fillId="5" borderId="0" xfId="0" applyFill="1"/>
    <xf numFmtId="15" fontId="0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8" fontId="1" fillId="0" borderId="6" xfId="0" applyNumberFormat="1" applyFont="1" applyBorder="1" applyAlignment="1">
      <alignment horizontal="center"/>
    </xf>
    <xf numFmtId="8" fontId="16" fillId="5" borderId="3" xfId="0" applyNumberFormat="1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167" fontId="16" fillId="5" borderId="3" xfId="0" applyNumberFormat="1" applyFont="1" applyFill="1" applyBorder="1" applyAlignment="1">
      <alignment horizontal="center" vertical="center" wrapText="1"/>
    </xf>
    <xf numFmtId="7" fontId="13" fillId="5" borderId="3" xfId="0" applyNumberFormat="1" applyFont="1" applyFill="1" applyBorder="1" applyAlignment="1">
      <alignment horizontal="center" vertical="center" wrapText="1"/>
    </xf>
    <xf numFmtId="7" fontId="10" fillId="5" borderId="3" xfId="0" applyNumberFormat="1" applyFont="1" applyFill="1" applyBorder="1" applyAlignment="1">
      <alignment horizontal="center" vertical="center" wrapText="1"/>
    </xf>
    <xf numFmtId="8" fontId="10" fillId="5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10" borderId="19" xfId="0" applyFont="1" applyFill="1" applyBorder="1" applyAlignment="1">
      <alignment horizontal="center" vertical="center" wrapText="1"/>
    </xf>
    <xf numFmtId="0" fontId="0" fillId="12" borderId="19" xfId="0" applyFill="1" applyBorder="1" applyAlignment="1">
      <alignment vertical="center" wrapText="1"/>
    </xf>
    <xf numFmtId="168" fontId="0" fillId="12" borderId="19" xfId="0" applyNumberFormat="1" applyFill="1" applyBorder="1" applyAlignment="1">
      <alignment vertical="center" wrapText="1"/>
    </xf>
    <xf numFmtId="4" fontId="0" fillId="12" borderId="19" xfId="0" applyNumberFormat="1" applyFill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168" fontId="0" fillId="0" borderId="19" xfId="0" applyNumberFormat="1" applyBorder="1" applyAlignment="1">
      <alignment vertical="center" wrapText="1"/>
    </xf>
    <xf numFmtId="4" fontId="0" fillId="0" borderId="19" xfId="0" applyNumberFormat="1" applyBorder="1" applyAlignment="1">
      <alignment vertical="center" wrapText="1"/>
    </xf>
    <xf numFmtId="0" fontId="0" fillId="0" borderId="19" xfId="0" applyBorder="1"/>
    <xf numFmtId="0" fontId="18" fillId="11" borderId="19" xfId="0" applyFont="1" applyFill="1" applyBorder="1"/>
    <xf numFmtId="4" fontId="18" fillId="11" borderId="19" xfId="0" applyNumberFormat="1" applyFont="1" applyFill="1" applyBorder="1"/>
    <xf numFmtId="0" fontId="0" fillId="12" borderId="19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4" fontId="7" fillId="12" borderId="19" xfId="0" applyNumberFormat="1" applyFont="1" applyFill="1" applyBorder="1" applyAlignment="1">
      <alignment vertical="center" wrapText="1"/>
    </xf>
    <xf numFmtId="15" fontId="0" fillId="12" borderId="19" xfId="0" applyNumberFormat="1" applyFill="1" applyBorder="1" applyAlignment="1">
      <alignment horizontal="center" vertical="center" wrapText="1"/>
    </xf>
    <xf numFmtId="168" fontId="0" fillId="12" borderId="19" xfId="0" applyNumberFormat="1" applyFill="1" applyBorder="1" applyAlignment="1">
      <alignment horizontal="center" vertical="center" wrapText="1"/>
    </xf>
    <xf numFmtId="168" fontId="0" fillId="0" borderId="19" xfId="0" applyNumberFormat="1" applyBorder="1" applyAlignment="1">
      <alignment horizontal="center" vertical="center" wrapText="1"/>
    </xf>
    <xf numFmtId="15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 textRotation="45"/>
    </xf>
    <xf numFmtId="0" fontId="4" fillId="4" borderId="0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wrapText="1"/>
    </xf>
    <xf numFmtId="0" fontId="5" fillId="4" borderId="6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 wrapText="1"/>
    </xf>
    <xf numFmtId="0" fontId="4" fillId="8" borderId="0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15" fontId="10" fillId="5" borderId="7" xfId="0" applyNumberFormat="1" applyFont="1" applyFill="1" applyBorder="1" applyAlignment="1">
      <alignment horizontal="center" vertical="center" wrapText="1"/>
    </xf>
    <xf numFmtId="15" fontId="10" fillId="5" borderId="18" xfId="0" applyNumberFormat="1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7" fillId="10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100965</xdr:colOff>
      <xdr:row>16</xdr:row>
      <xdr:rowOff>30480</xdr:rowOff>
    </xdr:from>
    <xdr:to>
      <xdr:col>26</xdr:col>
      <xdr:colOff>38100</xdr:colOff>
      <xdr:row>41</xdr:row>
      <xdr:rowOff>0</xdr:rowOff>
    </xdr:to>
    <xdr:sp macro="" textlink="">
      <xdr:nvSpPr>
        <xdr:cNvPr id="2" name="AutoShape 57"/>
        <xdr:cNvSpPr>
          <a:spLocks noChangeArrowheads="1"/>
        </xdr:cNvSpPr>
      </xdr:nvSpPr>
      <xdr:spPr bwMode="auto">
        <a:xfrm>
          <a:off x="16270605" y="2956560"/>
          <a:ext cx="4204335" cy="4541520"/>
        </a:xfrm>
        <a:prstGeom prst="wedgeRectCallout">
          <a:avLst>
            <a:gd name="adj1" fmla="val -157761"/>
            <a:gd name="adj2" fmla="val -91527"/>
          </a:avLst>
        </a:prstGeom>
        <a:solidFill>
          <a:schemeClr val="accent1">
            <a:lumMod val="40000"/>
            <a:lumOff val="60000"/>
          </a:schemeClr>
        </a:solidFill>
        <a:ln>
          <a:noFill/>
        </a:ln>
        <a:effectLst/>
        <a:extLst/>
      </xdr:spPr>
      <xdr:txBody>
        <a:bodyPr vertOverflow="clip" wrap="square" lIns="72000" tIns="72000" rIns="72000" bIns="72000" anchor="t" upright="1"/>
        <a:lstStyle/>
        <a:p>
          <a:pPr algn="l" rtl="0">
            <a:defRPr sz="1000"/>
          </a:pPr>
          <a:r>
            <a:rPr lang="en-GB" sz="1400">
              <a:latin typeface="SutonnyOMJ" pitchFamily="2" charset="0"/>
              <a:cs typeface="SutonnyOMJ" pitchFamily="2" charset="0"/>
            </a:rPr>
            <a:t>অনন্ত</a:t>
          </a:r>
          <a:r>
            <a:rPr lang="en-GB" sz="1400" baseline="0">
              <a:latin typeface="SutonnyOMJ" pitchFamily="2" charset="0"/>
              <a:cs typeface="SutonnyOMJ" pitchFamily="2" charset="0"/>
            </a:rPr>
            <a:t> সুইং এবং ওয়াশ স্টাফ সেম কলাম হবে। অনন্ত  </a:t>
          </a:r>
          <a: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  <a:t>সুইং  এ কলা হল মেইন অর্ডার,অর্থাৎ যদি অর্ডার ২০০ হয় তবে ডিম এর পরিমান ৫ টি বেশি যাবে যেমন </a:t>
          </a:r>
          <a:b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</a:br>
          <a: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  <a:t>১.কলার পরিমান ২০০।</a:t>
          </a:r>
          <a:b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</a:br>
          <a: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  <a:t>২.ডিম এর পরিমান ২০৫। (ডিম এর পরিমান ৫ টি বেশি যাবে)</a:t>
          </a:r>
          <a:b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</a:br>
          <a: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  <a:t>৩.অল টাইম রুটি ২০০। </a:t>
          </a:r>
          <a:b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</a:br>
          <a:r>
            <a:rPr lang="en-GB" sz="2400" baseline="0">
              <a:effectLst/>
              <a:latin typeface="SutonnyOMJ" pitchFamily="2" charset="0"/>
              <a:ea typeface="+mn-ea"/>
              <a:cs typeface="SutonnyOMJ" pitchFamily="2" charset="0"/>
            </a:rPr>
            <a:t> </a:t>
          </a:r>
          <a: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  <a:t>লাভ লস এর হিসাব অটো উঠে যাবে</a:t>
          </a:r>
          <a:r>
            <a:rPr lang="en-GB" sz="1000" baseline="0">
              <a:effectLst/>
              <a:latin typeface="+mn-lt"/>
              <a:ea typeface="+mn-ea"/>
              <a:cs typeface="+mn-cs"/>
            </a:rPr>
            <a:t/>
          </a:r>
          <a:br>
            <a:rPr lang="en-GB" sz="1000" baseline="0">
              <a:effectLst/>
              <a:latin typeface="+mn-lt"/>
              <a:ea typeface="+mn-ea"/>
              <a:cs typeface="+mn-cs"/>
            </a:rPr>
          </a:br>
          <a:endParaRPr lang="en-GB" sz="1400" baseline="0">
            <a:effectLst/>
            <a:latin typeface="SutonnyOMJ" pitchFamily="2" charset="0"/>
            <a:ea typeface="+mn-ea"/>
            <a:cs typeface="SutonnyOMJ" pitchFamily="2" charset="0"/>
          </a:endParaRPr>
        </a:p>
        <a:p>
          <a:pPr algn="l" rtl="0">
            <a:defRPr sz="1000"/>
          </a:pPr>
          <a:r>
            <a:rPr lang="en-GB" sz="1600" baseline="0">
              <a:effectLst/>
              <a:latin typeface="SutonnyOMJ" pitchFamily="2" charset="0"/>
              <a:ea typeface="+mn-ea"/>
              <a:cs typeface="SutonnyOMJ" pitchFamily="2" charset="0"/>
            </a:rPr>
            <a:t>প্রত্যেক মাস এর সিট আলাদা হবে। বিল ও আলাদা হবে ইনভইচ নাম্বার অনুযায়ী বিল Statment এ অটো যোগ হয়ে যাবে। পায়মেন্ট হলে পেইড হবে।আর না হলে ডিউ থাকবে। </a:t>
          </a:r>
          <a:r>
            <a:rPr lang="en-GB" sz="2800" baseline="0">
              <a:effectLst/>
              <a:latin typeface="SutonnyOMJ" pitchFamily="2" charset="0"/>
              <a:ea typeface="+mn-ea"/>
              <a:cs typeface="SutonnyOMJ" pitchFamily="2" charset="0"/>
            </a:rPr>
            <a:t/>
          </a:r>
          <a:br>
            <a:rPr lang="en-GB" sz="2800" baseline="0">
              <a:effectLst/>
              <a:latin typeface="SutonnyOMJ" pitchFamily="2" charset="0"/>
              <a:ea typeface="+mn-ea"/>
              <a:cs typeface="SutonnyOMJ" pitchFamily="2" charset="0"/>
            </a:rPr>
          </a:br>
          <a:endParaRPr lang="en-GB" sz="2800" baseline="0">
            <a:effectLst/>
            <a:latin typeface="SutonnyOMJ" pitchFamily="2" charset="0"/>
            <a:ea typeface="+mn-ea"/>
            <a:cs typeface="SutonnyOMJ" pitchFamily="2" charset="0"/>
          </a:endParaRP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333375</xdr:colOff>
      <xdr:row>12</xdr:row>
      <xdr:rowOff>152400</xdr:rowOff>
    </xdr:from>
    <xdr:to>
      <xdr:col>21</xdr:col>
      <xdr:colOff>57150</xdr:colOff>
      <xdr:row>27</xdr:row>
      <xdr:rowOff>180975</xdr:rowOff>
    </xdr:to>
    <xdr:sp macro="" textlink="">
      <xdr:nvSpPr>
        <xdr:cNvPr id="2" name="AutoShape 57"/>
        <xdr:cNvSpPr>
          <a:spLocks noChangeArrowheads="1"/>
        </xdr:cNvSpPr>
      </xdr:nvSpPr>
      <xdr:spPr bwMode="auto">
        <a:xfrm>
          <a:off x="12601575" y="2486025"/>
          <a:ext cx="3990975" cy="2971800"/>
        </a:xfrm>
        <a:prstGeom prst="wedgeRectCallout">
          <a:avLst>
            <a:gd name="adj1" fmla="val -157761"/>
            <a:gd name="adj2" fmla="val -91527"/>
          </a:avLst>
        </a:prstGeom>
        <a:solidFill>
          <a:schemeClr val="accent1">
            <a:lumMod val="40000"/>
            <a:lumOff val="60000"/>
          </a:schemeClr>
        </a:solidFill>
        <a:ln>
          <a:noFill/>
        </a:ln>
        <a:effectLst/>
        <a:extLst/>
      </xdr:spPr>
      <xdr:txBody>
        <a:bodyPr vertOverflow="clip" wrap="square" lIns="72000" tIns="72000" rIns="72000" bIns="72000" anchor="t" upright="1"/>
        <a:lstStyle/>
        <a:p>
          <a:pPr algn="l" rtl="0">
            <a:defRPr sz="1000"/>
          </a:pPr>
          <a: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  <a:t>লাভ লস এর হিসাব অটো উঠে যাবে</a:t>
          </a:r>
          <a:b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</a:br>
          <a:endParaRPr lang="en-GB" sz="1400" baseline="0">
            <a:effectLst/>
            <a:latin typeface="SutonnyOMJ" pitchFamily="2" charset="0"/>
            <a:ea typeface="+mn-ea"/>
            <a:cs typeface="SutonnyOMJ" pitchFamily="2" charset="0"/>
          </a:endParaRPr>
        </a:p>
        <a:p>
          <a:pPr algn="l" rtl="0">
            <a:defRPr sz="1000"/>
          </a:pPr>
          <a:r>
            <a:rPr lang="en-GB" sz="1600" baseline="0">
              <a:effectLst/>
              <a:latin typeface="SutonnyOMJ" pitchFamily="2" charset="0"/>
              <a:ea typeface="+mn-ea"/>
              <a:cs typeface="SutonnyOMJ" pitchFamily="2" charset="0"/>
            </a:rPr>
            <a:t>প্রত্যেক মাস এর সিট আলাদা হবে। বিল ও আলাদা হবে ইনভইচ নাম্বার অনুযায়ী বিল Statment এ অটো যোগ হয়ে যাবে। পায়মেন্ট হলে পেইড হবে।আর না হলে ডিউ থাকবে। </a:t>
          </a:r>
          <a:r>
            <a:rPr lang="en-GB" sz="2800" baseline="0">
              <a:effectLst/>
              <a:latin typeface="SutonnyOMJ" pitchFamily="2" charset="0"/>
              <a:ea typeface="+mn-ea"/>
              <a:cs typeface="SutonnyOMJ" pitchFamily="2" charset="0"/>
            </a:rPr>
            <a:t/>
          </a:r>
          <a:br>
            <a:rPr lang="en-GB" sz="2800" baseline="0">
              <a:effectLst/>
              <a:latin typeface="SutonnyOMJ" pitchFamily="2" charset="0"/>
              <a:ea typeface="+mn-ea"/>
              <a:cs typeface="SutonnyOMJ" pitchFamily="2" charset="0"/>
            </a:rPr>
          </a:br>
          <a:endParaRPr lang="en-GB" sz="2800" baseline="0">
            <a:effectLst/>
            <a:latin typeface="SutonnyOMJ" pitchFamily="2" charset="0"/>
            <a:ea typeface="+mn-ea"/>
            <a:cs typeface="SutonnyOMJ" pitchFamily="2" charset="0"/>
          </a:endParaRP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</xdr:colOff>
      <xdr:row>12</xdr:row>
      <xdr:rowOff>0</xdr:rowOff>
    </xdr:from>
    <xdr:to>
      <xdr:col>12</xdr:col>
      <xdr:colOff>866775</xdr:colOff>
      <xdr:row>22</xdr:row>
      <xdr:rowOff>161925</xdr:rowOff>
    </xdr:to>
    <xdr:sp macro="" textlink="">
      <xdr:nvSpPr>
        <xdr:cNvPr id="2" name="AutoShape 57"/>
        <xdr:cNvSpPr>
          <a:spLocks noChangeArrowheads="1"/>
        </xdr:cNvSpPr>
      </xdr:nvSpPr>
      <xdr:spPr bwMode="auto">
        <a:xfrm>
          <a:off x="12334876" y="4476750"/>
          <a:ext cx="3467099" cy="2076450"/>
        </a:xfrm>
        <a:prstGeom prst="wedgeRectCallout">
          <a:avLst>
            <a:gd name="adj1" fmla="val -157761"/>
            <a:gd name="adj2" fmla="val -91527"/>
          </a:avLst>
        </a:prstGeom>
        <a:solidFill>
          <a:schemeClr val="accent1">
            <a:lumMod val="40000"/>
            <a:lumOff val="60000"/>
          </a:schemeClr>
        </a:solidFill>
        <a:ln>
          <a:noFill/>
        </a:ln>
        <a:effectLst/>
        <a:extLst/>
      </xdr:spPr>
      <xdr:txBody>
        <a:bodyPr vertOverflow="clip" wrap="square" lIns="72000" tIns="72000" rIns="72000" bIns="7200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  <a:t>উধাহারন </a:t>
          </a:r>
          <a:r>
            <a:rPr lang="en-GB" sz="1000" baseline="0">
              <a:effectLst/>
              <a:latin typeface="+mn-lt"/>
              <a:ea typeface="+mn-ea"/>
              <a:cs typeface="+mn-cs"/>
            </a:rPr>
            <a:t/>
          </a:r>
          <a:br>
            <a:rPr lang="en-GB" sz="1000" baseline="0">
              <a:effectLst/>
              <a:latin typeface="+mn-lt"/>
              <a:ea typeface="+mn-ea"/>
              <a:cs typeface="+mn-cs"/>
            </a:rPr>
          </a:br>
          <a:r>
            <a:rPr lang="en-GB" sz="1000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  <a:t/>
          </a:r>
          <a:b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</a:br>
          <a: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  <a:t>ডিজেল সাপ্লাই তে ট্যাক্স এর কলাম এডিট করার অপশন রাখবে।কারন ট্যাক্স এর নিরধারিত পারসেন নেই কখন ১% কাতে,আবার কখন ১০% কাতে। প্রায় সবগুলো এডিট রাখবেন। বিল ও আলাদা হবে ইনভইচ নাম্বার অনুযায়ী বিল Statment এ অটো যোগ হয়ে যাবে। পায়মেন্ট হলে পেইড হবে।আর না হলে ডিউ থাকবে। </a:t>
          </a:r>
          <a:b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</a:br>
          <a:endParaRPr lang="en-US" sz="1400">
            <a:effectLst/>
            <a:latin typeface="SutonnyOMJ" pitchFamily="2" charset="0"/>
            <a:cs typeface="SutonnyOMJ" pitchFamily="2" charset="0"/>
          </a:endParaRPr>
        </a:p>
        <a:p>
          <a:pPr algn="l" rtl="0">
            <a:defRPr sz="1000"/>
          </a:pPr>
          <a:endParaRPr lang="en-GB" sz="1400" baseline="0">
            <a:effectLst/>
            <a:latin typeface="SutonnyOMJ" pitchFamily="2" charset="0"/>
            <a:ea typeface="+mn-ea"/>
            <a:cs typeface="SutonnyOMJ" pitchFamily="2" charset="0"/>
          </a:endParaRP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1543051</xdr:colOff>
      <xdr:row>16</xdr:row>
      <xdr:rowOff>238125</xdr:rowOff>
    </xdr:from>
    <xdr:to>
      <xdr:col>10</xdr:col>
      <xdr:colOff>514350</xdr:colOff>
      <xdr:row>27</xdr:row>
      <xdr:rowOff>123825</xdr:rowOff>
    </xdr:to>
    <xdr:sp macro="" textlink="">
      <xdr:nvSpPr>
        <xdr:cNvPr id="3" name="AutoShape 57"/>
        <xdr:cNvSpPr>
          <a:spLocks noChangeArrowheads="1"/>
        </xdr:cNvSpPr>
      </xdr:nvSpPr>
      <xdr:spPr bwMode="auto">
        <a:xfrm>
          <a:off x="10629901" y="6257925"/>
          <a:ext cx="3629024" cy="2057400"/>
        </a:xfrm>
        <a:prstGeom prst="wedgeRectCallout">
          <a:avLst>
            <a:gd name="adj1" fmla="val -130989"/>
            <a:gd name="adj2" fmla="val -156805"/>
          </a:avLst>
        </a:prstGeom>
        <a:solidFill>
          <a:schemeClr val="accent1">
            <a:lumMod val="40000"/>
            <a:lumOff val="60000"/>
          </a:schemeClr>
        </a:solidFill>
        <a:ln>
          <a:noFill/>
        </a:ln>
        <a:effectLst/>
        <a:extLst/>
      </xdr:spPr>
      <xdr:txBody>
        <a:bodyPr vertOverflow="clip" wrap="square" lIns="72000" tIns="72000" rIns="72000" bIns="72000" anchor="t" upright="1"/>
        <a:lstStyle/>
        <a:p>
          <a:pPr algn="ctr" rtl="0">
            <a:defRPr sz="1000"/>
          </a:pPr>
          <a: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  <a:t>উধাহারন </a:t>
          </a:r>
          <a:b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</a:br>
          <a:r>
            <a:rPr lang="en-GB" sz="1000" baseline="0">
              <a:effectLst/>
              <a:latin typeface="+mn-lt"/>
              <a:ea typeface="+mn-ea"/>
              <a:cs typeface="+mn-cs"/>
            </a:rPr>
            <a:t/>
          </a:r>
          <a:br>
            <a:rPr lang="en-GB" sz="1000" baseline="0">
              <a:effectLst/>
              <a:latin typeface="+mn-lt"/>
              <a:ea typeface="+mn-ea"/>
              <a:cs typeface="+mn-cs"/>
            </a:rPr>
          </a:br>
          <a: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  <a:t>প্রায় সবগুলো এডিট রাখবেন। প্রত্যেক মাস এর সিট আলাদা হবে। বিল ও আলাদা হবে ইনভইচ নাম্বার অনুযায়ী বিল Statment এ অটো যোগ হয়ে যাবে। পায়মেন্ট হলে পেইড হবে।আর না হলে ডিউ থাকবে। 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1311089</xdr:colOff>
      <xdr:row>17</xdr:row>
      <xdr:rowOff>134469</xdr:rowOff>
    </xdr:from>
    <xdr:to>
      <xdr:col>10</xdr:col>
      <xdr:colOff>403411</xdr:colOff>
      <xdr:row>28</xdr:row>
      <xdr:rowOff>134470</xdr:rowOff>
    </xdr:to>
    <xdr:sp macro="" textlink="">
      <xdr:nvSpPr>
        <xdr:cNvPr id="2" name="AutoShape 57"/>
        <xdr:cNvSpPr>
          <a:spLocks noChangeArrowheads="1"/>
        </xdr:cNvSpPr>
      </xdr:nvSpPr>
      <xdr:spPr bwMode="auto">
        <a:xfrm>
          <a:off x="10410265" y="6398557"/>
          <a:ext cx="3765175" cy="2106707"/>
        </a:xfrm>
        <a:prstGeom prst="wedgeRectCallout">
          <a:avLst>
            <a:gd name="adj1" fmla="val -157761"/>
            <a:gd name="adj2" fmla="val -91527"/>
          </a:avLst>
        </a:prstGeom>
        <a:solidFill>
          <a:schemeClr val="accent1">
            <a:lumMod val="40000"/>
            <a:lumOff val="60000"/>
          </a:schemeClr>
        </a:solidFill>
        <a:ln>
          <a:noFill/>
        </a:ln>
        <a:effectLst/>
        <a:extLst/>
      </xdr:spPr>
      <xdr:txBody>
        <a:bodyPr vertOverflow="clip" wrap="square" lIns="72000" tIns="72000" rIns="72000" bIns="72000" anchor="t" upright="1"/>
        <a:lstStyle/>
        <a:p>
          <a:pPr algn="ctr" rtl="0">
            <a:defRPr sz="1000"/>
          </a:pPr>
          <a: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  <a:t>উধাহারন </a:t>
          </a:r>
          <a:b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</a:br>
          <a:r>
            <a:rPr lang="en-GB" sz="1000" baseline="0">
              <a:effectLst/>
              <a:latin typeface="+mn-lt"/>
              <a:ea typeface="+mn-ea"/>
              <a:cs typeface="+mn-cs"/>
            </a:rPr>
            <a:t/>
          </a:r>
          <a:br>
            <a:rPr lang="en-GB" sz="1000" baseline="0">
              <a:effectLst/>
              <a:latin typeface="+mn-lt"/>
              <a:ea typeface="+mn-ea"/>
              <a:cs typeface="+mn-cs"/>
            </a:rPr>
          </a:br>
          <a: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  <a:t>প্রায় সবগুলো এডিট রাখবেন। প্রত্যেক মাস এর সিট আলাদা হবে। বিল ও আলাদা হবে ইনভইচ নাম্বার অনুযায়ী বিল Statment এ অটো যোগ হয়ে যাবে। পায়মেন্ট হলে পেইড হবে।আর না হলে ডিউ থাকবে। 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1282514</xdr:colOff>
      <xdr:row>17</xdr:row>
      <xdr:rowOff>220194</xdr:rowOff>
    </xdr:from>
    <xdr:to>
      <xdr:col>11</xdr:col>
      <xdr:colOff>403412</xdr:colOff>
      <xdr:row>44</xdr:row>
      <xdr:rowOff>89647</xdr:rowOff>
    </xdr:to>
    <xdr:sp macro="" textlink="">
      <xdr:nvSpPr>
        <xdr:cNvPr id="2" name="AutoShape 57"/>
        <xdr:cNvSpPr>
          <a:spLocks noChangeArrowheads="1"/>
        </xdr:cNvSpPr>
      </xdr:nvSpPr>
      <xdr:spPr bwMode="auto">
        <a:xfrm>
          <a:off x="10695455" y="6576170"/>
          <a:ext cx="5539628" cy="4800042"/>
        </a:xfrm>
        <a:prstGeom prst="wedgeRectCallout">
          <a:avLst>
            <a:gd name="adj1" fmla="val -157761"/>
            <a:gd name="adj2" fmla="val -91527"/>
          </a:avLst>
        </a:prstGeom>
        <a:solidFill>
          <a:schemeClr val="accent1">
            <a:lumMod val="40000"/>
            <a:lumOff val="60000"/>
          </a:schemeClr>
        </a:solidFill>
        <a:ln>
          <a:noFill/>
        </a:ln>
        <a:effectLst/>
        <a:extLst/>
      </xdr:spPr>
      <xdr:txBody>
        <a:bodyPr vertOverflow="clip" wrap="square" lIns="72000" tIns="72000" rIns="72000" bIns="72000" anchor="t" upright="1"/>
        <a:lstStyle/>
        <a:p>
          <a:pPr algn="l" rtl="0">
            <a:defRPr sz="1000"/>
          </a:pPr>
          <a: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  <a:t>উধাহারন </a:t>
          </a:r>
          <a:b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</a:br>
          <a: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  <a:t/>
          </a:r>
          <a:b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</a:br>
          <a:r>
            <a:rPr lang="en-GB" sz="1000" baseline="0">
              <a:effectLst/>
              <a:latin typeface="+mn-lt"/>
              <a:ea typeface="+mn-ea"/>
              <a:cs typeface="+mn-cs"/>
            </a:rPr>
            <a:t/>
          </a:r>
          <a:br>
            <a:rPr lang="en-GB" sz="1000" baseline="0">
              <a:effectLst/>
              <a:latin typeface="+mn-lt"/>
              <a:ea typeface="+mn-ea"/>
              <a:cs typeface="+mn-cs"/>
            </a:rPr>
          </a:br>
          <a:r>
            <a:rPr lang="en-GB" sz="1600" baseline="0">
              <a:effectLst/>
              <a:latin typeface="SutonnyOMJ" pitchFamily="2" charset="0"/>
              <a:ea typeface="+mn-ea"/>
              <a:cs typeface="SutonnyOMJ" pitchFamily="2" charset="0"/>
            </a:rPr>
            <a:t>ফ্লোর অনুযায়ী  শুধু বিল রেট পরিবরতন হবে। কস্টিং রেট টা অপরিবর্তিত থাকবে। যেমন </a:t>
          </a:r>
          <a:br>
            <a:rPr lang="en-GB" sz="1600" baseline="0">
              <a:effectLst/>
              <a:latin typeface="SutonnyOMJ" pitchFamily="2" charset="0"/>
              <a:ea typeface="+mn-ea"/>
              <a:cs typeface="SutonnyOMJ" pitchFamily="2" charset="0"/>
            </a:rPr>
          </a:br>
          <a:r>
            <a:rPr lang="en-GB" sz="1600" baseline="0">
              <a:effectLst/>
              <a:latin typeface="SutonnyOMJ" pitchFamily="2" charset="0"/>
              <a:ea typeface="+mn-ea"/>
              <a:cs typeface="SutonnyOMJ" pitchFamily="2" charset="0"/>
            </a:rPr>
            <a:t>১. Loading-Unloading  (Mazzanine Floor) বিল রেট 1250/-</a:t>
          </a:r>
          <a:br>
            <a:rPr lang="en-GB" sz="1600" baseline="0">
              <a:effectLst/>
              <a:latin typeface="SutonnyOMJ" pitchFamily="2" charset="0"/>
              <a:ea typeface="+mn-ea"/>
              <a:cs typeface="SutonnyOMJ" pitchFamily="2" charset="0"/>
            </a:rPr>
          </a:br>
          <a:r>
            <a:rPr lang="en-GB" sz="1600" baseline="0">
              <a:effectLst/>
              <a:latin typeface="SutonnyOMJ" pitchFamily="2" charset="0"/>
              <a:ea typeface="+mn-ea"/>
              <a:cs typeface="SutonnyOMJ" pitchFamily="2" charset="0"/>
            </a:rPr>
            <a:t>২.Loading-Unloading  (Emeodery Floor)  </a:t>
          </a:r>
          <a: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  <a:t>বিল রেট 1400/-</a:t>
          </a:r>
          <a:r>
            <a:rPr lang="en-GB" sz="2800" baseline="0">
              <a:effectLst/>
              <a:latin typeface="SutonnyOMJ" pitchFamily="2" charset="0"/>
              <a:ea typeface="+mn-ea"/>
              <a:cs typeface="SutonnyOMJ" pitchFamily="2" charset="0"/>
            </a:rPr>
            <a:t> </a:t>
          </a:r>
          <a:br>
            <a:rPr lang="en-GB" sz="2800" baseline="0">
              <a:effectLst/>
              <a:latin typeface="SutonnyOMJ" pitchFamily="2" charset="0"/>
              <a:ea typeface="+mn-ea"/>
              <a:cs typeface="SutonnyOMJ" pitchFamily="2" charset="0"/>
            </a:rPr>
          </a:br>
          <a:r>
            <a:rPr lang="en-GB" sz="2800" baseline="0">
              <a:effectLst/>
              <a:latin typeface="SutonnyOMJ" pitchFamily="2" charset="0"/>
              <a:ea typeface="+mn-ea"/>
              <a:cs typeface="SutonnyOMJ" pitchFamily="2" charset="0"/>
            </a:rPr>
            <a:t>  </a:t>
          </a:r>
          <a:r>
            <a:rPr lang="en-GB" sz="1600" baseline="0">
              <a:effectLst/>
              <a:latin typeface="SutonnyOMJ" pitchFamily="2" charset="0"/>
              <a:ea typeface="+mn-ea"/>
              <a:cs typeface="SutonnyOMJ" pitchFamily="2" charset="0"/>
            </a:rPr>
            <a:t/>
          </a:r>
          <a:br>
            <a:rPr lang="en-GB" sz="1600" baseline="0">
              <a:effectLst/>
              <a:latin typeface="SutonnyOMJ" pitchFamily="2" charset="0"/>
              <a:ea typeface="+mn-ea"/>
              <a:cs typeface="SutonnyOMJ" pitchFamily="2" charset="0"/>
            </a:rPr>
          </a:br>
          <a: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  <a:t>। প্রত্যেক মাস এর সিট আলাদা হবে। বিল ও আলাদা হবে ইনভইচ নাম্বার অনুযায়ী বিল Statment এ অটো যোগ হয়ে যাবে। পায়মেন্ট হলে পেইড হবে।আর না হলে ডিউ থাকবে। 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1219200</xdr:colOff>
      <xdr:row>17</xdr:row>
      <xdr:rowOff>134468</xdr:rowOff>
    </xdr:from>
    <xdr:to>
      <xdr:col>13</xdr:col>
      <xdr:colOff>409575</xdr:colOff>
      <xdr:row>34</xdr:row>
      <xdr:rowOff>28575</xdr:rowOff>
    </xdr:to>
    <xdr:sp macro="" textlink="">
      <xdr:nvSpPr>
        <xdr:cNvPr id="2" name="AutoShape 57"/>
        <xdr:cNvSpPr>
          <a:spLocks noChangeArrowheads="1"/>
        </xdr:cNvSpPr>
      </xdr:nvSpPr>
      <xdr:spPr bwMode="auto">
        <a:xfrm>
          <a:off x="13411200" y="6411443"/>
          <a:ext cx="5400675" cy="3142132"/>
        </a:xfrm>
        <a:prstGeom prst="wedgeRectCallout">
          <a:avLst>
            <a:gd name="adj1" fmla="val -157761"/>
            <a:gd name="adj2" fmla="val -91527"/>
          </a:avLst>
        </a:prstGeom>
        <a:solidFill>
          <a:schemeClr val="accent1">
            <a:lumMod val="40000"/>
            <a:lumOff val="60000"/>
          </a:schemeClr>
        </a:solidFill>
        <a:ln>
          <a:noFill/>
        </a:ln>
        <a:effectLst/>
        <a:extLst/>
      </xdr:spPr>
      <xdr:txBody>
        <a:bodyPr vertOverflow="clip" wrap="square" lIns="72000" tIns="72000" rIns="72000" bIns="72000" anchor="t" upright="1"/>
        <a:lstStyle/>
        <a:p>
          <a:pPr algn="l" rtl="0">
            <a:defRPr sz="1000"/>
          </a:pPr>
          <a: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  <a:t>উধাহারন </a:t>
          </a:r>
          <a:b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</a:br>
          <a: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  <a:t> </a:t>
          </a:r>
          <a:r>
            <a:rPr lang="en-GB" sz="1000" baseline="0">
              <a:effectLst/>
              <a:latin typeface="+mn-lt"/>
              <a:ea typeface="+mn-ea"/>
              <a:cs typeface="+mn-cs"/>
            </a:rPr>
            <a:t/>
          </a:r>
          <a:br>
            <a:rPr lang="en-GB" sz="1000" baseline="0">
              <a:effectLst/>
              <a:latin typeface="+mn-lt"/>
              <a:ea typeface="+mn-ea"/>
              <a:cs typeface="+mn-cs"/>
            </a:rPr>
          </a:br>
          <a: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  <a:t>প্রায় সবগুলো এডিট রাখবেন। এগুলর রেট পরিবরতন হয়ে থাকে। প্রত্যেক মাস এর সিট আলাদা হবে। বিল ও আলাদা হবে ইনভইচ নাম্বার অনুযায়ী বিল Statment এ অটো যোগ হয়ে যাবে। পায়মেন্ট হলে পেইড হবে।আর না হলে ডিউ থাকবে। Embrodiry &amp; Print এর শিট মুলত এক ই হয়ে থাকে ভিন্নতা শুধুমাত্র রেট এ হয়। </a:t>
          </a:r>
          <a:b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</a:br>
          <a:endParaRPr lang="en-GB" sz="1400" baseline="0">
            <a:effectLst/>
            <a:latin typeface="SutonnyOMJ" pitchFamily="2" charset="0"/>
            <a:ea typeface="+mn-ea"/>
            <a:cs typeface="SutonnyOMJ" pitchFamily="2" charset="0"/>
          </a:endParaRPr>
        </a:p>
        <a:p>
          <a:pPr algn="l" rtl="0">
            <a:defRPr sz="1000"/>
          </a:pPr>
          <a: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  <a:t>Buyer পরিবরতন থাকতে পারে একই মাস এ তাই অপশন রেখে দিয়েন। যেমন </a:t>
          </a:r>
          <a:b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</a:br>
          <a: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  <a:t>১.Amarican  Eagle</a:t>
          </a:r>
          <a:b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</a:br>
          <a: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  <a:t>২.GAP</a:t>
          </a:r>
          <a:b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</a:br>
          <a: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  <a:t>৩.</a:t>
          </a:r>
          <a:r>
            <a:rPr lang="en-US" sz="1400" b="0" i="0">
              <a:effectLst/>
              <a:latin typeface="SutonnyOMJ" pitchFamily="2" charset="0"/>
              <a:ea typeface="+mn-ea"/>
              <a:cs typeface="SutonnyOMJ" pitchFamily="2" charset="0"/>
            </a:rPr>
            <a:t>Calvin Klein</a:t>
          </a:r>
          <a:br>
            <a:rPr lang="en-US" sz="1400" b="0" i="0">
              <a:effectLst/>
              <a:latin typeface="SutonnyOMJ" pitchFamily="2" charset="0"/>
              <a:ea typeface="+mn-ea"/>
              <a:cs typeface="SutonnyOMJ" pitchFamily="2" charset="0"/>
            </a:rPr>
          </a:br>
          <a:r>
            <a:rPr lang="en-US" sz="1400" b="0" i="0">
              <a:effectLst/>
              <a:latin typeface="SutonnyOMJ" pitchFamily="2" charset="0"/>
              <a:ea typeface="+mn-ea"/>
              <a:cs typeface="SutonnyOMJ" pitchFamily="2" charset="0"/>
            </a:rPr>
            <a:t>ইত্তাদি থাকতে</a:t>
          </a:r>
          <a:r>
            <a:rPr lang="en-US" sz="1400" b="0" i="0" baseline="0">
              <a:effectLst/>
              <a:latin typeface="SutonnyOMJ" pitchFamily="2" charset="0"/>
              <a:ea typeface="+mn-ea"/>
              <a:cs typeface="SutonnyOMJ" pitchFamily="2" charset="0"/>
            </a:rPr>
            <a:t> পারে।</a:t>
          </a:r>
          <a:br>
            <a:rPr lang="en-US" sz="1400" b="0" i="0" baseline="0">
              <a:effectLst/>
              <a:latin typeface="SutonnyOMJ" pitchFamily="2" charset="0"/>
              <a:ea typeface="+mn-ea"/>
              <a:cs typeface="SutonnyOMJ" pitchFamily="2" charset="0"/>
            </a:rPr>
          </a:br>
          <a:r>
            <a:rPr lang="en-US" sz="1400" b="0" i="0" baseline="0">
              <a:effectLst/>
              <a:latin typeface="SutonnyOMJ" pitchFamily="2" charset="0"/>
              <a:ea typeface="+mn-ea"/>
              <a:cs typeface="SutonnyOMJ" pitchFamily="2" charset="0"/>
            </a:rPr>
            <a:t>Style অনুযায়ী জাতে Quntity সার্চ করে দেখা যায় সেই অপশন রাখবেন।</a:t>
          </a:r>
          <a:endParaRPr lang="en-GB" sz="2400" baseline="0">
            <a:effectLst/>
            <a:latin typeface="SutonnyOMJ" pitchFamily="2" charset="0"/>
            <a:ea typeface="+mn-ea"/>
            <a:cs typeface="SutonnyOMJ" pitchFamily="2" charset="0"/>
          </a:endParaRP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1311089</xdr:colOff>
      <xdr:row>17</xdr:row>
      <xdr:rowOff>134469</xdr:rowOff>
    </xdr:from>
    <xdr:to>
      <xdr:col>10</xdr:col>
      <xdr:colOff>403411</xdr:colOff>
      <xdr:row>28</xdr:row>
      <xdr:rowOff>134470</xdr:rowOff>
    </xdr:to>
    <xdr:sp macro="" textlink="">
      <xdr:nvSpPr>
        <xdr:cNvPr id="2" name="AutoShape 57"/>
        <xdr:cNvSpPr>
          <a:spLocks noChangeArrowheads="1"/>
        </xdr:cNvSpPr>
      </xdr:nvSpPr>
      <xdr:spPr bwMode="auto">
        <a:xfrm>
          <a:off x="10397939" y="6411444"/>
          <a:ext cx="3750047" cy="2105026"/>
        </a:xfrm>
        <a:prstGeom prst="wedgeRectCallout">
          <a:avLst>
            <a:gd name="adj1" fmla="val -157761"/>
            <a:gd name="adj2" fmla="val -91527"/>
          </a:avLst>
        </a:prstGeom>
        <a:solidFill>
          <a:schemeClr val="accent1">
            <a:lumMod val="40000"/>
            <a:lumOff val="60000"/>
          </a:schemeClr>
        </a:solidFill>
        <a:ln>
          <a:noFill/>
        </a:ln>
        <a:effectLst/>
        <a:extLst/>
      </xdr:spPr>
      <xdr:txBody>
        <a:bodyPr vertOverflow="clip" wrap="square" lIns="72000" tIns="72000" rIns="72000" bIns="72000" anchor="t" upright="1"/>
        <a:lstStyle/>
        <a:p>
          <a:pPr algn="ctr" rtl="0">
            <a:defRPr sz="1000"/>
          </a:pPr>
          <a: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  <a:t>উধাহারন </a:t>
          </a:r>
          <a:b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</a:br>
          <a:r>
            <a:rPr lang="en-GB" sz="1000" baseline="0">
              <a:effectLst/>
              <a:latin typeface="+mn-lt"/>
              <a:ea typeface="+mn-ea"/>
              <a:cs typeface="+mn-cs"/>
            </a:rPr>
            <a:t/>
          </a:r>
          <a:br>
            <a:rPr lang="en-GB" sz="1000" baseline="0">
              <a:effectLst/>
              <a:latin typeface="+mn-lt"/>
              <a:ea typeface="+mn-ea"/>
              <a:cs typeface="+mn-cs"/>
            </a:rPr>
          </a:br>
          <a: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  <a:t>প্রায় সবগুলো এডিট রাখবেন। প্রত্যেক মাস এর সিট আলাদা হবে। বিল ও আলাদা হবে ইনভইচ নাম্বার অনুযায়ী বিল Statment এ অটো যোগ হয়ে যাবে। পায়মেন্ট হলে পেইড হবে।আর না হলে ডিউ থাকবে। 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1311089</xdr:colOff>
      <xdr:row>17</xdr:row>
      <xdr:rowOff>134469</xdr:rowOff>
    </xdr:from>
    <xdr:to>
      <xdr:col>8</xdr:col>
      <xdr:colOff>403411</xdr:colOff>
      <xdr:row>28</xdr:row>
      <xdr:rowOff>134470</xdr:rowOff>
    </xdr:to>
    <xdr:sp macro="" textlink="">
      <xdr:nvSpPr>
        <xdr:cNvPr id="2" name="AutoShape 57"/>
        <xdr:cNvSpPr>
          <a:spLocks noChangeArrowheads="1"/>
        </xdr:cNvSpPr>
      </xdr:nvSpPr>
      <xdr:spPr bwMode="auto">
        <a:xfrm>
          <a:off x="10397939" y="6411444"/>
          <a:ext cx="3750047" cy="2105026"/>
        </a:xfrm>
        <a:prstGeom prst="wedgeRectCallout">
          <a:avLst>
            <a:gd name="adj1" fmla="val -157761"/>
            <a:gd name="adj2" fmla="val -91527"/>
          </a:avLst>
        </a:prstGeom>
        <a:solidFill>
          <a:schemeClr val="accent1">
            <a:lumMod val="40000"/>
            <a:lumOff val="60000"/>
          </a:schemeClr>
        </a:solidFill>
        <a:ln>
          <a:noFill/>
        </a:ln>
        <a:effectLst/>
        <a:extLst/>
      </xdr:spPr>
      <xdr:txBody>
        <a:bodyPr vertOverflow="clip" wrap="square" lIns="72000" tIns="72000" rIns="72000" bIns="72000" anchor="t" upright="1"/>
        <a:lstStyle/>
        <a:p>
          <a:pPr algn="ctr" rtl="0">
            <a:defRPr sz="1000"/>
          </a:pPr>
          <a: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  <a:t>উধাহারন </a:t>
          </a:r>
          <a:b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</a:br>
          <a:r>
            <a:rPr lang="en-GB" sz="1000" baseline="0">
              <a:effectLst/>
              <a:latin typeface="+mn-lt"/>
              <a:ea typeface="+mn-ea"/>
              <a:cs typeface="+mn-cs"/>
            </a:rPr>
            <a:t/>
          </a:r>
          <a:br>
            <a:rPr lang="en-GB" sz="1000" baseline="0">
              <a:effectLst/>
              <a:latin typeface="+mn-lt"/>
              <a:ea typeface="+mn-ea"/>
              <a:cs typeface="+mn-cs"/>
            </a:rPr>
          </a:br>
          <a: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  <a:t>প্রায় সবগুলো এডিট রাখবেন। প্রত্যেক মাস এর সিট আলাদা হবে। বিল ও আলাদা হবে ইনভইচ নাম্বার অনুযায়ী বিল Statment এ অটো যোগ হয়ে যাবে। পায়মেন্ট হলে পেইড হবে।আর না হলে ডিউ থাকবে। 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574221</xdr:colOff>
      <xdr:row>17</xdr:row>
      <xdr:rowOff>159204</xdr:rowOff>
    </xdr:from>
    <xdr:to>
      <xdr:col>8</xdr:col>
      <xdr:colOff>379639</xdr:colOff>
      <xdr:row>34</xdr:row>
      <xdr:rowOff>62836</xdr:rowOff>
    </xdr:to>
    <xdr:sp macro="" textlink="">
      <xdr:nvSpPr>
        <xdr:cNvPr id="2" name="AutoShape 57"/>
        <xdr:cNvSpPr>
          <a:spLocks noChangeArrowheads="1"/>
        </xdr:cNvSpPr>
      </xdr:nvSpPr>
      <xdr:spPr bwMode="auto">
        <a:xfrm>
          <a:off x="6413046" y="4340679"/>
          <a:ext cx="5415643" cy="3142132"/>
        </a:xfrm>
        <a:prstGeom prst="wedgeRectCallout">
          <a:avLst>
            <a:gd name="adj1" fmla="val -157761"/>
            <a:gd name="adj2" fmla="val -91527"/>
          </a:avLst>
        </a:prstGeom>
        <a:solidFill>
          <a:schemeClr val="accent1">
            <a:lumMod val="40000"/>
            <a:lumOff val="60000"/>
          </a:schemeClr>
        </a:solidFill>
        <a:ln>
          <a:noFill/>
        </a:ln>
        <a:effectLst/>
        <a:extLst/>
      </xdr:spPr>
      <xdr:txBody>
        <a:bodyPr vertOverflow="clip" wrap="square" lIns="72000" tIns="72000" rIns="72000" bIns="72000" anchor="t" upright="1"/>
        <a:lstStyle/>
        <a:p>
          <a:pPr algn="l" rtl="0">
            <a:defRPr sz="1000"/>
          </a:pPr>
          <a: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  <a:t>উধাহারন </a:t>
          </a:r>
          <a:b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</a:br>
          <a: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  <a:t> </a:t>
          </a:r>
          <a:r>
            <a:rPr lang="en-GB" sz="1000" baseline="0">
              <a:effectLst/>
              <a:latin typeface="+mn-lt"/>
              <a:ea typeface="+mn-ea"/>
              <a:cs typeface="+mn-cs"/>
            </a:rPr>
            <a:t/>
          </a:r>
          <a:br>
            <a:rPr lang="en-GB" sz="1000" baseline="0">
              <a:effectLst/>
              <a:latin typeface="+mn-lt"/>
              <a:ea typeface="+mn-ea"/>
              <a:cs typeface="+mn-cs"/>
            </a:rPr>
          </a:br>
          <a: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  <a:t>প্রায় এই শিট এ অনন্ত যত ধরনের বিল হবে তা অটো উঠে যাবে সারা মাস এ জা জা হবে তাঁর সবগুলই Bill Amount,Description,sanding date,reciving date,invoice no, payment Status এসব কিছু অটো হয়ে যাবে এই  শিট এ ইনভইচ এর কপি জাতে রাখা যায় Jpg করে।এমন কি এই শিট এ যদি কোন বিল পেইড করা হয় তাহলে অই মাস এর অই বিলটির   হিসাব জাতে করে অটো ক্লোজ হয়ে যায়,মানে পেইড হয়ে যায়। এই সিস্টেম করে দিয়েন। </a:t>
          </a:r>
          <a:br>
            <a:rPr lang="en-GB" sz="1400" baseline="0">
              <a:effectLst/>
              <a:latin typeface="SutonnyOMJ" pitchFamily="2" charset="0"/>
              <a:ea typeface="+mn-ea"/>
              <a:cs typeface="SutonnyOMJ" pitchFamily="2" charset="0"/>
            </a:rPr>
          </a:br>
          <a:endParaRPr lang="en-GB" sz="1400" baseline="0">
            <a:effectLst/>
            <a:latin typeface="SutonnyOMJ" pitchFamily="2" charset="0"/>
            <a:ea typeface="+mn-ea"/>
            <a:cs typeface="SutonnyOMJ" pitchFamily="2" charset="0"/>
          </a:endParaRP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tabSelected="1" topLeftCell="C1" workbookViewId="0">
      <selection activeCell="C10" sqref="C10"/>
    </sheetView>
  </sheetViews>
  <sheetFormatPr defaultRowHeight="14.4"/>
  <cols>
    <col min="1" max="14" width="13.6640625" customWidth="1"/>
  </cols>
  <sheetData>
    <row r="1" spans="1:18">
      <c r="A1" s="1"/>
      <c r="B1" s="1"/>
      <c r="C1" s="1"/>
      <c r="D1" s="1"/>
      <c r="E1" s="78" t="s">
        <v>0</v>
      </c>
      <c r="F1" s="78"/>
      <c r="G1" s="78"/>
      <c r="H1" s="78"/>
      <c r="I1" s="78"/>
      <c r="J1" s="1"/>
      <c r="K1" s="1"/>
      <c r="L1" s="1"/>
      <c r="M1" s="1"/>
      <c r="N1" s="2"/>
    </row>
    <row r="2" spans="1:18">
      <c r="A2" s="1"/>
      <c r="B2" s="1"/>
      <c r="C2" s="1"/>
      <c r="D2" s="1"/>
      <c r="E2" s="79"/>
      <c r="F2" s="79"/>
      <c r="G2" s="79"/>
      <c r="H2" s="79"/>
      <c r="I2" s="79"/>
      <c r="J2" s="1"/>
      <c r="K2" s="1"/>
      <c r="L2" s="1"/>
      <c r="M2" s="1"/>
      <c r="N2" s="2"/>
    </row>
    <row r="3" spans="1:18">
      <c r="A3" s="76" t="s">
        <v>1</v>
      </c>
      <c r="B3" s="76" t="s">
        <v>2</v>
      </c>
      <c r="C3" s="76" t="s">
        <v>3</v>
      </c>
      <c r="D3" s="76" t="s">
        <v>4</v>
      </c>
      <c r="E3" s="76" t="s">
        <v>5</v>
      </c>
      <c r="F3" s="76" t="s">
        <v>6</v>
      </c>
      <c r="G3" s="80"/>
      <c r="H3" s="76" t="s">
        <v>1</v>
      </c>
      <c r="I3" s="76" t="s">
        <v>2</v>
      </c>
      <c r="J3" s="76" t="s">
        <v>3</v>
      </c>
      <c r="K3" s="76" t="s">
        <v>4</v>
      </c>
      <c r="L3" s="76" t="s">
        <v>5</v>
      </c>
      <c r="M3" s="76" t="s">
        <v>7</v>
      </c>
      <c r="N3" s="77" t="s">
        <v>8</v>
      </c>
    </row>
    <row r="4" spans="1:18">
      <c r="A4" s="76"/>
      <c r="B4" s="76"/>
      <c r="C4" s="76"/>
      <c r="D4" s="76"/>
      <c r="E4" s="76"/>
      <c r="F4" s="76"/>
      <c r="G4" s="80"/>
      <c r="H4" s="76"/>
      <c r="I4" s="76"/>
      <c r="J4" s="76"/>
      <c r="K4" s="76"/>
      <c r="L4" s="76"/>
      <c r="M4" s="76"/>
      <c r="N4" s="77"/>
    </row>
    <row r="5" spans="1:18">
      <c r="A5" s="73">
        <v>46235</v>
      </c>
      <c r="B5" s="3" t="s">
        <v>9</v>
      </c>
      <c r="C5" s="3">
        <v>9</v>
      </c>
      <c r="D5" s="4">
        <f>D6+5</f>
        <v>5</v>
      </c>
      <c r="E5" s="3">
        <f>D5*C5</f>
        <v>45</v>
      </c>
      <c r="F5" s="3"/>
      <c r="H5" s="73">
        <v>46235</v>
      </c>
      <c r="I5" s="3" t="s">
        <v>9</v>
      </c>
      <c r="J5" s="74">
        <v>30</v>
      </c>
      <c r="K5" s="3"/>
      <c r="L5" s="3"/>
      <c r="M5" s="3"/>
      <c r="N5" s="3"/>
    </row>
    <row r="6" spans="1:18">
      <c r="A6" s="74"/>
      <c r="B6" s="5" t="s">
        <v>10</v>
      </c>
      <c r="C6" s="3">
        <v>5.2</v>
      </c>
      <c r="D6" s="13"/>
      <c r="E6" s="3">
        <f>D6*C6</f>
        <v>0</v>
      </c>
      <c r="F6" s="3"/>
      <c r="H6" s="74"/>
      <c r="I6" s="3" t="s">
        <v>10</v>
      </c>
      <c r="J6" s="74"/>
      <c r="K6" s="3">
        <f>D6</f>
        <v>0</v>
      </c>
      <c r="L6" s="3">
        <f>K6*J5</f>
        <v>0</v>
      </c>
      <c r="M6" s="3"/>
      <c r="N6" s="3"/>
    </row>
    <row r="7" spans="1:18">
      <c r="A7" s="74"/>
      <c r="B7" s="5" t="s">
        <v>114</v>
      </c>
      <c r="C7" s="3">
        <v>7.8</v>
      </c>
      <c r="D7" s="4">
        <f>D6</f>
        <v>0</v>
      </c>
      <c r="E7" s="3">
        <f>D7*C7</f>
        <v>0</v>
      </c>
      <c r="F7" s="3"/>
      <c r="H7" s="74"/>
      <c r="I7" s="3" t="s">
        <v>114</v>
      </c>
      <c r="J7" s="74"/>
      <c r="K7" s="3"/>
      <c r="L7" s="3"/>
      <c r="M7" s="3"/>
      <c r="N7" s="3"/>
    </row>
    <row r="8" spans="1:18">
      <c r="A8" s="7"/>
      <c r="B8" s="3"/>
      <c r="C8" s="3"/>
      <c r="D8" s="3"/>
      <c r="E8" s="8" t="s">
        <v>12</v>
      </c>
      <c r="F8" s="8">
        <f>SUM(E5:E7)</f>
        <v>45</v>
      </c>
      <c r="H8" s="7"/>
      <c r="I8" s="3"/>
      <c r="J8" s="7"/>
      <c r="K8" s="3"/>
      <c r="L8" s="8" t="s">
        <v>12</v>
      </c>
      <c r="M8" s="8">
        <f>K6*J5</f>
        <v>0</v>
      </c>
      <c r="N8" s="8">
        <f>M8-F8</f>
        <v>-45</v>
      </c>
    </row>
    <row r="9" spans="1:18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spans="1:18">
      <c r="A10" s="73">
        <v>46236</v>
      </c>
      <c r="B10" s="3" t="s">
        <v>9</v>
      </c>
      <c r="C10" s="3">
        <v>10.6</v>
      </c>
      <c r="D10" s="4">
        <f>D11+5</f>
        <v>5</v>
      </c>
      <c r="E10" s="3">
        <f>D10*C10</f>
        <v>53</v>
      </c>
      <c r="F10" s="3"/>
      <c r="H10" s="73">
        <v>46236</v>
      </c>
      <c r="I10" s="3" t="s">
        <v>9</v>
      </c>
      <c r="J10" s="74">
        <v>30</v>
      </c>
      <c r="K10" s="3"/>
      <c r="L10" s="3"/>
      <c r="M10" s="3"/>
      <c r="N10" s="3"/>
    </row>
    <row r="11" spans="1:18">
      <c r="A11" s="74"/>
      <c r="B11" s="5" t="s">
        <v>10</v>
      </c>
      <c r="C11" s="3">
        <v>5.2</v>
      </c>
      <c r="D11" s="6"/>
      <c r="E11" s="3">
        <f>D11*C11</f>
        <v>0</v>
      </c>
      <c r="F11" s="3"/>
      <c r="H11" s="74"/>
      <c r="I11" s="3" t="s">
        <v>10</v>
      </c>
      <c r="J11" s="74"/>
      <c r="K11" s="3">
        <f>D11</f>
        <v>0</v>
      </c>
      <c r="L11" s="3">
        <f>K11*J10</f>
        <v>0</v>
      </c>
      <c r="M11" s="3"/>
      <c r="N11" s="3"/>
    </row>
    <row r="12" spans="1:18">
      <c r="A12" s="74"/>
      <c r="B12" s="5" t="s">
        <v>11</v>
      </c>
      <c r="C12" s="3">
        <v>7.8</v>
      </c>
      <c r="D12" s="4">
        <f>D11</f>
        <v>0</v>
      </c>
      <c r="E12" s="3">
        <f>D12*C12</f>
        <v>0</v>
      </c>
      <c r="F12" s="3"/>
      <c r="H12" s="74"/>
      <c r="I12" s="3" t="s">
        <v>11</v>
      </c>
      <c r="J12" s="74"/>
      <c r="K12" s="3"/>
      <c r="L12" s="3"/>
      <c r="M12" s="3"/>
      <c r="N12" s="3"/>
    </row>
    <row r="13" spans="1:18">
      <c r="A13" s="7"/>
      <c r="B13" s="3"/>
      <c r="C13" s="3"/>
      <c r="D13" s="3"/>
      <c r="E13" s="8" t="s">
        <v>12</v>
      </c>
      <c r="F13" s="8">
        <f>SUM(E10:E12)</f>
        <v>53</v>
      </c>
      <c r="H13" s="7"/>
      <c r="I13" s="3"/>
      <c r="J13" s="7"/>
      <c r="K13" s="3"/>
      <c r="L13" s="8" t="s">
        <v>12</v>
      </c>
      <c r="M13" s="8">
        <f>K11*J10</f>
        <v>0</v>
      </c>
      <c r="N13" s="8">
        <f>M13-F13</f>
        <v>-53</v>
      </c>
    </row>
    <row r="14" spans="1:18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8">
      <c r="A15" s="73">
        <v>46237</v>
      </c>
      <c r="B15" s="3" t="s">
        <v>9</v>
      </c>
      <c r="C15" s="3">
        <v>10.8</v>
      </c>
      <c r="D15" s="4">
        <f>D16+5</f>
        <v>5</v>
      </c>
      <c r="E15" s="3">
        <f>D15*C15</f>
        <v>54</v>
      </c>
      <c r="F15" s="3"/>
      <c r="H15" s="73">
        <v>46237</v>
      </c>
      <c r="I15" s="3" t="s">
        <v>9</v>
      </c>
      <c r="J15" s="74">
        <v>30</v>
      </c>
      <c r="K15" s="3"/>
      <c r="L15" s="3"/>
      <c r="M15" s="3"/>
      <c r="N15" s="3"/>
    </row>
    <row r="16" spans="1:18">
      <c r="A16" s="74"/>
      <c r="B16" s="5" t="s">
        <v>10</v>
      </c>
      <c r="C16" s="3">
        <v>5.2</v>
      </c>
      <c r="D16" s="6"/>
      <c r="E16" s="3">
        <f>D16*C16</f>
        <v>0</v>
      </c>
      <c r="F16" s="3"/>
      <c r="H16" s="74"/>
      <c r="I16" s="3" t="s">
        <v>10</v>
      </c>
      <c r="J16" s="74"/>
      <c r="K16" s="3">
        <f>D16</f>
        <v>0</v>
      </c>
      <c r="L16" s="3">
        <f>K16*J15</f>
        <v>0</v>
      </c>
      <c r="M16" s="3"/>
      <c r="N16" s="3"/>
      <c r="R16" s="3"/>
    </row>
    <row r="17" spans="1:14">
      <c r="A17" s="74"/>
      <c r="B17" s="5" t="s">
        <v>11</v>
      </c>
      <c r="C17" s="3">
        <v>7.8</v>
      </c>
      <c r="D17" s="4">
        <f>D16</f>
        <v>0</v>
      </c>
      <c r="E17" s="3">
        <f>D17*C17</f>
        <v>0</v>
      </c>
      <c r="F17" s="3"/>
      <c r="H17" s="74"/>
      <c r="I17" s="3" t="s">
        <v>11</v>
      </c>
      <c r="J17" s="74"/>
      <c r="K17" s="3"/>
      <c r="L17" s="3"/>
      <c r="M17" s="3"/>
      <c r="N17" s="3"/>
    </row>
    <row r="18" spans="1:14">
      <c r="A18" s="7"/>
      <c r="B18" s="3"/>
      <c r="C18" s="3"/>
      <c r="D18" s="3"/>
      <c r="E18" s="8" t="s">
        <v>12</v>
      </c>
      <c r="F18" s="8">
        <f>SUM(E15:E17)</f>
        <v>54</v>
      </c>
      <c r="H18" s="7"/>
      <c r="I18" s="3"/>
      <c r="J18" s="7"/>
      <c r="K18" s="3"/>
      <c r="L18" s="8" t="s">
        <v>12</v>
      </c>
      <c r="M18" s="8">
        <f>K16*J15</f>
        <v>0</v>
      </c>
      <c r="N18" s="8">
        <f>M18-F18</f>
        <v>-54</v>
      </c>
    </row>
    <row r="19" spans="1:14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4">
      <c r="A20" s="73">
        <v>46238</v>
      </c>
      <c r="B20" s="3" t="s">
        <v>9</v>
      </c>
      <c r="C20" s="3">
        <v>10.8</v>
      </c>
      <c r="D20" s="4">
        <f>D21+5</f>
        <v>5</v>
      </c>
      <c r="E20" s="3">
        <f>D20*C20</f>
        <v>54</v>
      </c>
      <c r="F20" s="3"/>
      <c r="H20" s="73">
        <v>46238</v>
      </c>
      <c r="I20" s="3" t="s">
        <v>9</v>
      </c>
      <c r="J20" s="74">
        <v>30</v>
      </c>
      <c r="K20" s="3"/>
      <c r="L20" s="3"/>
      <c r="M20" s="3"/>
      <c r="N20" s="3"/>
    </row>
    <row r="21" spans="1:14">
      <c r="A21" s="74"/>
      <c r="B21" s="5" t="s">
        <v>10</v>
      </c>
      <c r="C21" s="3">
        <v>5.2</v>
      </c>
      <c r="D21" s="6"/>
      <c r="E21" s="3">
        <f>D21*C21</f>
        <v>0</v>
      </c>
      <c r="F21" s="3"/>
      <c r="G21" s="5"/>
      <c r="H21" s="74"/>
      <c r="I21" s="3" t="s">
        <v>10</v>
      </c>
      <c r="J21" s="74"/>
      <c r="K21" s="3">
        <f>D21</f>
        <v>0</v>
      </c>
      <c r="L21" s="3">
        <f>K21*J20</f>
        <v>0</v>
      </c>
      <c r="M21" s="3"/>
      <c r="N21" s="3"/>
    </row>
    <row r="22" spans="1:14">
      <c r="A22" s="74"/>
      <c r="B22" s="5" t="s">
        <v>11</v>
      </c>
      <c r="C22" s="3">
        <v>7.8</v>
      </c>
      <c r="D22" s="4">
        <f>D21</f>
        <v>0</v>
      </c>
      <c r="E22" s="3">
        <f>D22*C22</f>
        <v>0</v>
      </c>
      <c r="F22" s="3"/>
      <c r="G22" s="5"/>
      <c r="H22" s="74"/>
      <c r="I22" s="3" t="s">
        <v>11</v>
      </c>
      <c r="J22" s="74"/>
      <c r="K22" s="3"/>
      <c r="L22" s="3"/>
      <c r="M22" s="3"/>
      <c r="N22" s="3"/>
    </row>
    <row r="23" spans="1:14">
      <c r="A23" s="7"/>
      <c r="B23" s="3"/>
      <c r="C23" s="3"/>
      <c r="D23" s="3"/>
      <c r="E23" s="8" t="s">
        <v>12</v>
      </c>
      <c r="F23" s="8">
        <f>SUM(E20:E22)</f>
        <v>54</v>
      </c>
      <c r="G23" s="5"/>
      <c r="H23" s="7"/>
      <c r="I23" s="3"/>
      <c r="J23" s="7"/>
      <c r="K23" s="3"/>
      <c r="L23" s="8" t="s">
        <v>12</v>
      </c>
      <c r="M23" s="8">
        <f>K21*J20</f>
        <v>0</v>
      </c>
      <c r="N23" s="8">
        <f>M23-F23</f>
        <v>-54</v>
      </c>
    </row>
    <row r="24" spans="1:1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spans="1:14">
      <c r="A25" s="73">
        <v>46239</v>
      </c>
      <c r="B25" s="3" t="s">
        <v>9</v>
      </c>
      <c r="C25" s="3">
        <v>11.5</v>
      </c>
      <c r="D25" s="4">
        <f>D26+5</f>
        <v>5</v>
      </c>
      <c r="E25" s="3">
        <f>D25*C25</f>
        <v>57.5</v>
      </c>
      <c r="F25" s="3"/>
      <c r="G25" s="75" t="s">
        <v>13</v>
      </c>
      <c r="H25" s="73">
        <v>46239</v>
      </c>
      <c r="I25" s="3" t="s">
        <v>9</v>
      </c>
      <c r="J25" s="74">
        <v>30</v>
      </c>
      <c r="K25" s="3"/>
      <c r="L25" s="3"/>
      <c r="M25" s="3"/>
      <c r="N25" s="3"/>
    </row>
    <row r="26" spans="1:14">
      <c r="A26" s="73"/>
      <c r="B26" s="5" t="s">
        <v>10</v>
      </c>
      <c r="C26" s="3">
        <v>5.2</v>
      </c>
      <c r="D26" s="6"/>
      <c r="E26" s="3">
        <f>D26*C26</f>
        <v>0</v>
      </c>
      <c r="F26" s="3"/>
      <c r="G26" s="75"/>
      <c r="H26" s="73"/>
      <c r="I26" s="3" t="s">
        <v>10</v>
      </c>
      <c r="J26" s="74"/>
      <c r="K26" s="3">
        <f>D26</f>
        <v>0</v>
      </c>
      <c r="L26" s="3">
        <f>K26*J25</f>
        <v>0</v>
      </c>
      <c r="M26" s="3"/>
      <c r="N26" s="3"/>
    </row>
    <row r="27" spans="1:14">
      <c r="A27" s="73"/>
      <c r="B27" s="5" t="s">
        <v>11</v>
      </c>
      <c r="C27" s="3">
        <v>7.8</v>
      </c>
      <c r="D27" s="4">
        <f>D26</f>
        <v>0</v>
      </c>
      <c r="E27" s="3">
        <f>D27*C27</f>
        <v>0</v>
      </c>
      <c r="F27" s="3"/>
      <c r="G27" s="75"/>
      <c r="H27" s="73"/>
      <c r="I27" s="3" t="s">
        <v>11</v>
      </c>
      <c r="J27" s="74"/>
      <c r="K27" s="3"/>
      <c r="L27" s="3"/>
      <c r="M27" s="3"/>
      <c r="N27" s="3"/>
    </row>
    <row r="28" spans="1:14">
      <c r="A28" s="7"/>
      <c r="B28" s="3"/>
      <c r="C28" s="3"/>
      <c r="D28" s="3"/>
      <c r="E28" s="8" t="s">
        <v>12</v>
      </c>
      <c r="F28" s="8">
        <f>SUM(E25:E27)</f>
        <v>57.5</v>
      </c>
      <c r="G28" s="75"/>
      <c r="H28" s="7"/>
      <c r="I28" s="3"/>
      <c r="J28" s="7"/>
      <c r="K28" s="3"/>
      <c r="L28" s="8" t="s">
        <v>12</v>
      </c>
      <c r="M28" s="8">
        <f>K26*J25</f>
        <v>0</v>
      </c>
      <c r="N28" s="8">
        <f>M28-F28</f>
        <v>-57.5</v>
      </c>
    </row>
    <row r="29" spans="1:14">
      <c r="A29" s="10"/>
      <c r="B29" s="9"/>
      <c r="C29" s="9"/>
      <c r="D29" s="9"/>
      <c r="E29" s="9"/>
      <c r="F29" s="9"/>
      <c r="G29" s="11"/>
      <c r="H29" s="10"/>
      <c r="I29" s="9"/>
      <c r="J29" s="9"/>
      <c r="K29" s="9"/>
      <c r="L29" s="9"/>
      <c r="M29" s="9"/>
      <c r="N29" s="9"/>
    </row>
    <row r="30" spans="1:14">
      <c r="A30" s="73">
        <v>46240</v>
      </c>
      <c r="B30" s="3" t="s">
        <v>9</v>
      </c>
      <c r="C30" s="3">
        <v>11.5</v>
      </c>
      <c r="D30" s="4">
        <f>D31+5</f>
        <v>5</v>
      </c>
      <c r="E30" s="3">
        <f>D30*C30</f>
        <v>57.5</v>
      </c>
      <c r="F30" s="3"/>
      <c r="H30" s="73">
        <v>46240</v>
      </c>
      <c r="I30" s="3" t="s">
        <v>9</v>
      </c>
      <c r="J30" s="74">
        <v>30</v>
      </c>
      <c r="K30" s="3"/>
      <c r="L30" s="3"/>
      <c r="M30" s="3"/>
      <c r="N30" s="3"/>
    </row>
    <row r="31" spans="1:14">
      <c r="A31" s="74"/>
      <c r="B31" s="5" t="s">
        <v>10</v>
      </c>
      <c r="C31" s="3">
        <v>5.2</v>
      </c>
      <c r="D31" s="6"/>
      <c r="E31" s="3">
        <f>D31*C31</f>
        <v>0</v>
      </c>
      <c r="H31" s="74"/>
      <c r="I31" s="3" t="s">
        <v>10</v>
      </c>
      <c r="J31" s="74"/>
      <c r="K31" s="3">
        <f>D31</f>
        <v>0</v>
      </c>
      <c r="L31" s="3">
        <f>K31*J30</f>
        <v>0</v>
      </c>
      <c r="M31" s="3"/>
      <c r="N31" s="3"/>
    </row>
    <row r="32" spans="1:14">
      <c r="A32" s="74"/>
      <c r="B32" s="5" t="s">
        <v>11</v>
      </c>
      <c r="C32" s="3">
        <v>7.8</v>
      </c>
      <c r="D32" s="4">
        <f>D31</f>
        <v>0</v>
      </c>
      <c r="E32" s="3">
        <f>D32*C32</f>
        <v>0</v>
      </c>
      <c r="F32" s="12"/>
      <c r="H32" s="74"/>
      <c r="I32" s="3" t="s">
        <v>11</v>
      </c>
      <c r="J32" s="74"/>
      <c r="K32" s="3"/>
      <c r="L32" s="3"/>
      <c r="M32" s="3"/>
      <c r="N32" s="3"/>
    </row>
    <row r="33" spans="1:14">
      <c r="A33" s="7"/>
      <c r="B33" s="3"/>
      <c r="C33" s="3"/>
      <c r="D33" s="3"/>
      <c r="E33" s="8" t="s">
        <v>12</v>
      </c>
      <c r="F33" s="8">
        <f>SUM(E30:E32)</f>
        <v>57.5</v>
      </c>
      <c r="H33" s="7"/>
      <c r="I33" s="3"/>
      <c r="J33" s="7"/>
      <c r="K33" s="3"/>
      <c r="L33" s="8" t="s">
        <v>12</v>
      </c>
      <c r="M33" s="8">
        <f>K31*J30</f>
        <v>0</v>
      </c>
      <c r="N33" s="8">
        <f>M33-F33</f>
        <v>-57.5</v>
      </c>
    </row>
    <row r="34" spans="1:1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1:14">
      <c r="A35" s="73">
        <v>46241</v>
      </c>
      <c r="B35" s="3" t="s">
        <v>9</v>
      </c>
      <c r="C35" s="3">
        <v>11.5</v>
      </c>
      <c r="D35" s="4">
        <f>D36+5</f>
        <v>5</v>
      </c>
      <c r="E35" s="3">
        <f>D35*C35</f>
        <v>57.5</v>
      </c>
      <c r="F35" s="3"/>
      <c r="G35" s="75" t="s">
        <v>14</v>
      </c>
      <c r="H35" s="73">
        <v>46241</v>
      </c>
      <c r="I35" s="3" t="s">
        <v>9</v>
      </c>
      <c r="J35" s="74">
        <v>30</v>
      </c>
      <c r="K35" s="3"/>
      <c r="L35" s="3"/>
      <c r="M35" s="3"/>
      <c r="N35" s="3"/>
    </row>
    <row r="36" spans="1:14">
      <c r="A36" s="74"/>
      <c r="B36" s="5" t="s">
        <v>10</v>
      </c>
      <c r="C36" s="3">
        <v>5.2</v>
      </c>
      <c r="D36" s="6"/>
      <c r="E36" s="3">
        <f>D36*C36</f>
        <v>0</v>
      </c>
      <c r="F36" s="3"/>
      <c r="G36" s="75"/>
      <c r="H36" s="74"/>
      <c r="I36" s="3" t="s">
        <v>10</v>
      </c>
      <c r="J36" s="74"/>
      <c r="K36" s="3">
        <f>D36</f>
        <v>0</v>
      </c>
      <c r="L36" s="3">
        <f>K36*J35</f>
        <v>0</v>
      </c>
      <c r="M36" s="3"/>
      <c r="N36" s="3"/>
    </row>
    <row r="37" spans="1:14">
      <c r="A37" s="74"/>
      <c r="B37" s="5" t="s">
        <v>11</v>
      </c>
      <c r="C37" s="3">
        <v>7.8</v>
      </c>
      <c r="D37" s="4">
        <f>D36</f>
        <v>0</v>
      </c>
      <c r="E37" s="3">
        <f>D37*C37</f>
        <v>0</v>
      </c>
      <c r="F37" s="3"/>
      <c r="G37" s="75"/>
      <c r="H37" s="74"/>
      <c r="I37" s="3" t="s">
        <v>11</v>
      </c>
      <c r="J37" s="74"/>
      <c r="K37" s="3"/>
      <c r="L37" s="3"/>
      <c r="M37" s="3"/>
      <c r="N37" s="3"/>
    </row>
    <row r="38" spans="1:14">
      <c r="A38" s="7"/>
      <c r="B38" s="3"/>
      <c r="C38" s="3"/>
      <c r="D38" s="3"/>
      <c r="E38" s="8" t="s">
        <v>12</v>
      </c>
      <c r="F38" s="8">
        <f>SUM(E35:E37)</f>
        <v>57.5</v>
      </c>
      <c r="G38" s="75"/>
      <c r="H38" s="7"/>
      <c r="I38" s="3"/>
      <c r="J38" s="7"/>
      <c r="K38" s="3"/>
      <c r="L38" s="8" t="s">
        <v>12</v>
      </c>
      <c r="M38" s="8">
        <f>K36*J35</f>
        <v>0</v>
      </c>
      <c r="N38" s="8">
        <f>M38-F38</f>
        <v>-57.5</v>
      </c>
    </row>
    <row r="39" spans="1:14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</sheetData>
  <mergeCells count="38">
    <mergeCell ref="E1:I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K3:K4"/>
    <mergeCell ref="L3:L4"/>
    <mergeCell ref="M3:M4"/>
    <mergeCell ref="N3:N4"/>
    <mergeCell ref="A10:A12"/>
    <mergeCell ref="H10:H12"/>
    <mergeCell ref="J10:J12"/>
    <mergeCell ref="A5:A7"/>
    <mergeCell ref="H5:H7"/>
    <mergeCell ref="J5:J7"/>
    <mergeCell ref="J3:J4"/>
    <mergeCell ref="A15:A17"/>
    <mergeCell ref="H15:H17"/>
    <mergeCell ref="J15:J17"/>
    <mergeCell ref="A20:A22"/>
    <mergeCell ref="H20:H22"/>
    <mergeCell ref="J20:J22"/>
    <mergeCell ref="A35:A37"/>
    <mergeCell ref="G35:G38"/>
    <mergeCell ref="H35:H37"/>
    <mergeCell ref="J35:J37"/>
    <mergeCell ref="A25:A27"/>
    <mergeCell ref="G25:G28"/>
    <mergeCell ref="H25:H27"/>
    <mergeCell ref="J25:J27"/>
    <mergeCell ref="A30:A32"/>
    <mergeCell ref="H30:H32"/>
    <mergeCell ref="J30:J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topLeftCell="E1" workbookViewId="0">
      <selection activeCell="M38" sqref="M38"/>
    </sheetView>
  </sheetViews>
  <sheetFormatPr defaultRowHeight="14.4"/>
  <cols>
    <col min="1" max="14" width="13.109375" customWidth="1"/>
  </cols>
  <sheetData>
    <row r="1" spans="1:14">
      <c r="A1" s="82"/>
      <c r="B1" s="83"/>
      <c r="C1" s="83"/>
      <c r="D1" s="84"/>
      <c r="E1" s="88" t="s">
        <v>55</v>
      </c>
      <c r="F1" s="78"/>
      <c r="G1" s="78"/>
      <c r="H1" s="78"/>
      <c r="I1" s="89"/>
      <c r="J1" s="82"/>
      <c r="K1" s="83"/>
      <c r="L1" s="83"/>
      <c r="M1" s="83"/>
      <c r="N1" s="84"/>
    </row>
    <row r="2" spans="1:14">
      <c r="A2" s="85"/>
      <c r="B2" s="86"/>
      <c r="C2" s="86"/>
      <c r="D2" s="87"/>
      <c r="E2" s="90"/>
      <c r="F2" s="79"/>
      <c r="G2" s="79"/>
      <c r="H2" s="79"/>
      <c r="I2" s="91"/>
      <c r="J2" s="85"/>
      <c r="K2" s="86"/>
      <c r="L2" s="86"/>
      <c r="M2" s="86"/>
      <c r="N2" s="87"/>
    </row>
    <row r="3" spans="1:14">
      <c r="A3" s="92" t="s">
        <v>1</v>
      </c>
      <c r="B3" s="92" t="s">
        <v>2</v>
      </c>
      <c r="C3" s="92" t="s">
        <v>3</v>
      </c>
      <c r="D3" s="92" t="s">
        <v>4</v>
      </c>
      <c r="E3" s="92" t="s">
        <v>5</v>
      </c>
      <c r="F3" s="92" t="s">
        <v>6</v>
      </c>
      <c r="G3" s="33"/>
      <c r="H3" s="92" t="s">
        <v>1</v>
      </c>
      <c r="I3" s="92" t="s">
        <v>2</v>
      </c>
      <c r="J3" s="92" t="s">
        <v>3</v>
      </c>
      <c r="K3" s="92" t="s">
        <v>4</v>
      </c>
      <c r="L3" s="92" t="s">
        <v>5</v>
      </c>
      <c r="M3" s="92" t="s">
        <v>7</v>
      </c>
      <c r="N3" s="81" t="s">
        <v>8</v>
      </c>
    </row>
    <row r="4" spans="1:14">
      <c r="A4" s="92"/>
      <c r="B4" s="92"/>
      <c r="C4" s="92"/>
      <c r="D4" s="92"/>
      <c r="E4" s="92"/>
      <c r="F4" s="92"/>
      <c r="G4" s="33"/>
      <c r="H4" s="92"/>
      <c r="I4" s="92"/>
      <c r="J4" s="92"/>
      <c r="K4" s="92"/>
      <c r="L4" s="92"/>
      <c r="M4" s="92"/>
      <c r="N4" s="81"/>
    </row>
    <row r="5" spans="1:14" ht="15">
      <c r="A5" s="34">
        <v>46235</v>
      </c>
      <c r="B5" s="35" t="s">
        <v>10</v>
      </c>
      <c r="C5" s="35">
        <v>5.2</v>
      </c>
      <c r="D5" s="35">
        <v>566</v>
      </c>
      <c r="E5" s="35">
        <f t="shared" ref="E5:E35" si="0">D5*C5</f>
        <v>2943.2000000000003</v>
      </c>
      <c r="F5" s="35">
        <f t="shared" ref="F5:F35" si="1">D5*C5</f>
        <v>2943.2000000000003</v>
      </c>
      <c r="G5" s="36"/>
      <c r="H5" s="34">
        <v>46235</v>
      </c>
      <c r="I5" s="35" t="s">
        <v>10</v>
      </c>
      <c r="J5" s="35">
        <v>6</v>
      </c>
      <c r="K5" s="35">
        <v>566</v>
      </c>
      <c r="L5" s="35">
        <f t="shared" ref="L5:L35" si="2">K5*J5</f>
        <v>3396</v>
      </c>
      <c r="M5" s="35">
        <f t="shared" ref="M5:M35" si="3">K5*J5</f>
        <v>3396</v>
      </c>
      <c r="N5" s="37">
        <f>L5-E5</f>
        <v>452.79999999999973</v>
      </c>
    </row>
    <row r="6" spans="1:14" ht="15">
      <c r="A6" s="34">
        <v>46236</v>
      </c>
      <c r="B6" s="35" t="s">
        <v>10</v>
      </c>
      <c r="C6" s="35">
        <v>5.2</v>
      </c>
      <c r="D6" s="35">
        <v>566</v>
      </c>
      <c r="E6" s="35">
        <f t="shared" si="0"/>
        <v>2943.2000000000003</v>
      </c>
      <c r="F6" s="35">
        <f t="shared" si="1"/>
        <v>2943.2000000000003</v>
      </c>
      <c r="G6" s="36"/>
      <c r="H6" s="34">
        <v>46236</v>
      </c>
      <c r="I6" s="35" t="s">
        <v>10</v>
      </c>
      <c r="J6" s="35">
        <v>6</v>
      </c>
      <c r="K6" s="35">
        <v>566</v>
      </c>
      <c r="L6" s="35">
        <f t="shared" si="2"/>
        <v>3396</v>
      </c>
      <c r="M6" s="35">
        <f t="shared" si="3"/>
        <v>3396</v>
      </c>
      <c r="N6" s="37">
        <f>L6-E6</f>
        <v>452.79999999999973</v>
      </c>
    </row>
    <row r="7" spans="1:14">
      <c r="A7" s="34">
        <v>46237</v>
      </c>
      <c r="B7" s="35" t="s">
        <v>10</v>
      </c>
      <c r="C7" s="35">
        <v>5.2</v>
      </c>
      <c r="D7" s="35"/>
      <c r="E7" s="35">
        <f t="shared" si="0"/>
        <v>0</v>
      </c>
      <c r="F7" s="35">
        <f t="shared" si="1"/>
        <v>0</v>
      </c>
      <c r="H7" s="34">
        <v>46237</v>
      </c>
      <c r="I7" s="35" t="s">
        <v>10</v>
      </c>
      <c r="J7" s="35">
        <v>6</v>
      </c>
      <c r="K7" s="35"/>
      <c r="L7" s="35">
        <f t="shared" si="2"/>
        <v>0</v>
      </c>
      <c r="M7" s="35">
        <f t="shared" si="3"/>
        <v>0</v>
      </c>
      <c r="N7" s="37">
        <f t="shared" ref="N7:N35" si="4">L7-E7</f>
        <v>0</v>
      </c>
    </row>
    <row r="8" spans="1:14">
      <c r="A8" s="34">
        <v>46238</v>
      </c>
      <c r="B8" s="38" t="s">
        <v>10</v>
      </c>
      <c r="C8" s="35">
        <v>5.2</v>
      </c>
      <c r="D8" s="35"/>
      <c r="E8" s="35">
        <f t="shared" si="0"/>
        <v>0</v>
      </c>
      <c r="F8" s="35">
        <f t="shared" si="1"/>
        <v>0</v>
      </c>
      <c r="G8" s="39"/>
      <c r="H8" s="34">
        <v>46238</v>
      </c>
      <c r="I8" s="35" t="s">
        <v>10</v>
      </c>
      <c r="J8" s="35">
        <v>6</v>
      </c>
      <c r="K8" s="35"/>
      <c r="L8" s="35">
        <f t="shared" si="2"/>
        <v>0</v>
      </c>
      <c r="M8" s="35">
        <f t="shared" si="3"/>
        <v>0</v>
      </c>
      <c r="N8" s="37">
        <f t="shared" si="4"/>
        <v>0</v>
      </c>
    </row>
    <row r="9" spans="1:14" ht="15">
      <c r="A9" s="34">
        <v>46239</v>
      </c>
      <c r="B9" s="38" t="s">
        <v>10</v>
      </c>
      <c r="C9" s="35">
        <v>5.2</v>
      </c>
      <c r="D9" s="35"/>
      <c r="E9" s="35">
        <f t="shared" si="0"/>
        <v>0</v>
      </c>
      <c r="F9" s="35">
        <f t="shared" si="1"/>
        <v>0</v>
      </c>
      <c r="G9" s="36"/>
      <c r="H9" s="34">
        <v>46239</v>
      </c>
      <c r="I9" s="38" t="s">
        <v>10</v>
      </c>
      <c r="J9" s="38">
        <v>6</v>
      </c>
      <c r="K9" s="35"/>
      <c r="L9" s="35">
        <f t="shared" si="2"/>
        <v>0</v>
      </c>
      <c r="M9" s="35">
        <f t="shared" si="3"/>
        <v>0</v>
      </c>
      <c r="N9" s="37">
        <f t="shared" si="4"/>
        <v>0</v>
      </c>
    </row>
    <row r="10" spans="1:14">
      <c r="A10" s="34">
        <v>46240</v>
      </c>
      <c r="B10" s="40" t="s">
        <v>56</v>
      </c>
      <c r="C10" s="40">
        <v>25</v>
      </c>
      <c r="D10" s="40"/>
      <c r="E10" s="40">
        <f t="shared" si="0"/>
        <v>0</v>
      </c>
      <c r="F10" s="40">
        <f t="shared" si="1"/>
        <v>0</v>
      </c>
      <c r="G10" s="39"/>
      <c r="H10" s="34">
        <v>46240</v>
      </c>
      <c r="I10" s="40" t="s">
        <v>56</v>
      </c>
      <c r="J10" s="40">
        <v>22</v>
      </c>
      <c r="K10" s="40"/>
      <c r="L10" s="40">
        <f t="shared" si="2"/>
        <v>0</v>
      </c>
      <c r="M10" s="40">
        <f t="shared" si="3"/>
        <v>0</v>
      </c>
      <c r="N10" s="41">
        <f t="shared" si="4"/>
        <v>0</v>
      </c>
    </row>
    <row r="11" spans="1:14" ht="15">
      <c r="A11" s="34">
        <v>46241</v>
      </c>
      <c r="B11" s="38" t="s">
        <v>10</v>
      </c>
      <c r="C11" s="38">
        <v>5.2</v>
      </c>
      <c r="D11" s="35"/>
      <c r="E11" s="35">
        <f t="shared" si="0"/>
        <v>0</v>
      </c>
      <c r="F11" s="35">
        <f t="shared" si="1"/>
        <v>0</v>
      </c>
      <c r="G11" s="36" t="s">
        <v>14</v>
      </c>
      <c r="H11" s="34">
        <v>46241</v>
      </c>
      <c r="I11" s="38" t="s">
        <v>10</v>
      </c>
      <c r="J11" s="38">
        <v>6</v>
      </c>
      <c r="K11" s="35"/>
      <c r="L11" s="35">
        <f t="shared" si="2"/>
        <v>0</v>
      </c>
      <c r="M11" s="35">
        <f t="shared" si="3"/>
        <v>0</v>
      </c>
      <c r="N11" s="37">
        <f t="shared" si="4"/>
        <v>0</v>
      </c>
    </row>
    <row r="12" spans="1:14" ht="15">
      <c r="A12" s="34">
        <v>46242</v>
      </c>
      <c r="B12" s="38" t="s">
        <v>10</v>
      </c>
      <c r="C12" s="38">
        <v>5.2</v>
      </c>
      <c r="D12" s="35"/>
      <c r="E12" s="35">
        <f t="shared" si="0"/>
        <v>0</v>
      </c>
      <c r="F12" s="35">
        <f t="shared" si="1"/>
        <v>0</v>
      </c>
      <c r="G12" s="36"/>
      <c r="H12" s="34">
        <v>46242</v>
      </c>
      <c r="I12" s="38" t="s">
        <v>10</v>
      </c>
      <c r="J12" s="38">
        <v>6</v>
      </c>
      <c r="K12" s="35"/>
      <c r="L12" s="35">
        <f t="shared" si="2"/>
        <v>0</v>
      </c>
      <c r="M12" s="35">
        <f t="shared" si="3"/>
        <v>0</v>
      </c>
      <c r="N12" s="37">
        <f t="shared" si="4"/>
        <v>0</v>
      </c>
    </row>
    <row r="13" spans="1:14">
      <c r="A13" s="34">
        <v>46243</v>
      </c>
      <c r="B13" s="38" t="s">
        <v>10</v>
      </c>
      <c r="C13" s="38">
        <v>5.2</v>
      </c>
      <c r="D13" s="35"/>
      <c r="E13" s="35">
        <f t="shared" si="0"/>
        <v>0</v>
      </c>
      <c r="F13" s="35">
        <f t="shared" si="1"/>
        <v>0</v>
      </c>
      <c r="G13" s="42"/>
      <c r="H13" s="34">
        <v>46243</v>
      </c>
      <c r="I13" s="38" t="s">
        <v>10</v>
      </c>
      <c r="J13" s="38">
        <v>6</v>
      </c>
      <c r="K13" s="35"/>
      <c r="L13" s="35">
        <f t="shared" si="2"/>
        <v>0</v>
      </c>
      <c r="M13" s="35">
        <f t="shared" si="3"/>
        <v>0</v>
      </c>
      <c r="N13" s="37">
        <f t="shared" si="4"/>
        <v>0</v>
      </c>
    </row>
    <row r="14" spans="1:14">
      <c r="A14" s="34">
        <v>46244</v>
      </c>
      <c r="B14" s="38" t="s">
        <v>10</v>
      </c>
      <c r="C14" s="38">
        <v>5.2</v>
      </c>
      <c r="D14" s="35"/>
      <c r="E14" s="35">
        <f t="shared" si="0"/>
        <v>0</v>
      </c>
      <c r="F14" s="35">
        <f t="shared" si="1"/>
        <v>0</v>
      </c>
      <c r="H14" s="34">
        <v>46244</v>
      </c>
      <c r="I14" s="38" t="s">
        <v>10</v>
      </c>
      <c r="J14" s="38">
        <v>6</v>
      </c>
      <c r="K14" s="35"/>
      <c r="L14" s="35">
        <f t="shared" si="2"/>
        <v>0</v>
      </c>
      <c r="M14" s="35">
        <f t="shared" si="3"/>
        <v>0</v>
      </c>
      <c r="N14" s="37">
        <f t="shared" si="4"/>
        <v>0</v>
      </c>
    </row>
    <row r="15" spans="1:14">
      <c r="A15" s="34">
        <v>46245</v>
      </c>
      <c r="B15" s="38" t="s">
        <v>10</v>
      </c>
      <c r="C15" s="38">
        <v>5.2</v>
      </c>
      <c r="D15" s="35"/>
      <c r="E15" s="35">
        <f t="shared" si="0"/>
        <v>0</v>
      </c>
      <c r="F15" s="35">
        <f t="shared" si="1"/>
        <v>0</v>
      </c>
      <c r="G15" s="39"/>
      <c r="H15" s="34">
        <v>46245</v>
      </c>
      <c r="I15" s="38" t="s">
        <v>10</v>
      </c>
      <c r="J15" s="38">
        <v>6</v>
      </c>
      <c r="K15" s="35"/>
      <c r="L15" s="35">
        <f t="shared" si="2"/>
        <v>0</v>
      </c>
      <c r="M15" s="35">
        <f t="shared" si="3"/>
        <v>0</v>
      </c>
      <c r="N15" s="37">
        <f t="shared" si="4"/>
        <v>0</v>
      </c>
    </row>
    <row r="16" spans="1:14">
      <c r="A16" s="34">
        <v>46246</v>
      </c>
      <c r="B16" s="38" t="s">
        <v>10</v>
      </c>
      <c r="C16" s="38">
        <v>5.2</v>
      </c>
      <c r="D16" s="35"/>
      <c r="E16" s="35">
        <f t="shared" si="0"/>
        <v>0</v>
      </c>
      <c r="F16" s="35">
        <f t="shared" si="1"/>
        <v>0</v>
      </c>
      <c r="H16" s="34">
        <v>46246</v>
      </c>
      <c r="I16" s="38" t="s">
        <v>10</v>
      </c>
      <c r="J16" s="38">
        <v>6</v>
      </c>
      <c r="K16" s="35"/>
      <c r="L16" s="35">
        <f t="shared" si="2"/>
        <v>0</v>
      </c>
      <c r="M16" s="35">
        <f t="shared" si="3"/>
        <v>0</v>
      </c>
      <c r="N16" s="37">
        <f t="shared" si="4"/>
        <v>0</v>
      </c>
    </row>
    <row r="17" spans="1:23">
      <c r="A17" s="34">
        <v>46247</v>
      </c>
      <c r="B17" s="40" t="s">
        <v>56</v>
      </c>
      <c r="C17" s="40">
        <v>25</v>
      </c>
      <c r="D17" s="40"/>
      <c r="E17" s="40">
        <f t="shared" si="0"/>
        <v>0</v>
      </c>
      <c r="F17" s="40">
        <f t="shared" si="1"/>
        <v>0</v>
      </c>
      <c r="H17" s="34">
        <v>46247</v>
      </c>
      <c r="I17" s="40" t="s">
        <v>56</v>
      </c>
      <c r="J17" s="40">
        <v>22</v>
      </c>
      <c r="K17" s="40"/>
      <c r="L17" s="40">
        <f t="shared" si="2"/>
        <v>0</v>
      </c>
      <c r="M17" s="40">
        <f t="shared" si="3"/>
        <v>0</v>
      </c>
      <c r="N17" s="41">
        <f t="shared" si="4"/>
        <v>0</v>
      </c>
    </row>
    <row r="18" spans="1:23" ht="15">
      <c r="A18" s="34">
        <v>46248</v>
      </c>
      <c r="B18" s="35" t="s">
        <v>10</v>
      </c>
      <c r="C18" s="35">
        <v>5.2</v>
      </c>
      <c r="D18" s="35"/>
      <c r="E18" s="35">
        <f t="shared" si="0"/>
        <v>0</v>
      </c>
      <c r="F18" s="35">
        <f t="shared" si="1"/>
        <v>0</v>
      </c>
      <c r="G18" s="36" t="s">
        <v>14</v>
      </c>
      <c r="H18" s="34">
        <v>46248</v>
      </c>
      <c r="I18" s="35" t="s">
        <v>10</v>
      </c>
      <c r="J18" s="38">
        <v>6</v>
      </c>
      <c r="K18" s="35"/>
      <c r="L18" s="35">
        <f t="shared" si="2"/>
        <v>0</v>
      </c>
      <c r="M18" s="35">
        <f t="shared" si="3"/>
        <v>0</v>
      </c>
      <c r="N18" s="37">
        <f t="shared" si="4"/>
        <v>0</v>
      </c>
    </row>
    <row r="19" spans="1:23" ht="15.6">
      <c r="A19" s="34">
        <v>46249</v>
      </c>
      <c r="B19" s="35" t="s">
        <v>10</v>
      </c>
      <c r="C19" s="35">
        <v>5.2</v>
      </c>
      <c r="D19" s="35"/>
      <c r="E19" s="35">
        <f t="shared" si="0"/>
        <v>0</v>
      </c>
      <c r="F19" s="35">
        <f t="shared" si="1"/>
        <v>0</v>
      </c>
      <c r="G19" s="36"/>
      <c r="H19" s="34">
        <v>46249</v>
      </c>
      <c r="I19" s="35" t="s">
        <v>10</v>
      </c>
      <c r="J19" s="38">
        <v>6</v>
      </c>
      <c r="K19" s="35"/>
      <c r="L19" s="35">
        <f t="shared" si="2"/>
        <v>0</v>
      </c>
      <c r="M19" s="35">
        <f t="shared" si="3"/>
        <v>0</v>
      </c>
      <c r="N19" s="43">
        <f t="shared" si="4"/>
        <v>0</v>
      </c>
    </row>
    <row r="20" spans="1:23" s="44" customFormat="1" ht="15.6">
      <c r="A20" s="34">
        <v>46250</v>
      </c>
      <c r="B20" s="35" t="s">
        <v>10</v>
      </c>
      <c r="C20" s="35">
        <v>5.2</v>
      </c>
      <c r="D20" s="35"/>
      <c r="E20" s="35">
        <f t="shared" si="0"/>
        <v>0</v>
      </c>
      <c r="F20" s="35">
        <f t="shared" si="1"/>
        <v>0</v>
      </c>
      <c r="G20" s="39"/>
      <c r="H20" s="34">
        <v>46250</v>
      </c>
      <c r="I20" s="35" t="s">
        <v>10</v>
      </c>
      <c r="J20" s="38">
        <v>6</v>
      </c>
      <c r="K20" s="35"/>
      <c r="L20" s="35">
        <f t="shared" si="2"/>
        <v>0</v>
      </c>
      <c r="M20" s="35">
        <f t="shared" si="3"/>
        <v>0</v>
      </c>
      <c r="N20" s="43">
        <f t="shared" si="4"/>
        <v>0</v>
      </c>
      <c r="O20"/>
      <c r="P20"/>
      <c r="Q20"/>
      <c r="R20"/>
      <c r="S20"/>
      <c r="T20"/>
      <c r="U20"/>
      <c r="V20"/>
      <c r="W20"/>
    </row>
    <row r="21" spans="1:23" ht="15.6">
      <c r="A21" s="34">
        <v>46251</v>
      </c>
      <c r="B21" s="35" t="s">
        <v>10</v>
      </c>
      <c r="C21" s="35">
        <v>5.2</v>
      </c>
      <c r="D21" s="35"/>
      <c r="E21" s="35">
        <f t="shared" si="0"/>
        <v>0</v>
      </c>
      <c r="F21" s="35">
        <f t="shared" si="1"/>
        <v>0</v>
      </c>
      <c r="H21" s="34">
        <v>46251</v>
      </c>
      <c r="I21" s="35" t="s">
        <v>10</v>
      </c>
      <c r="J21" s="38">
        <v>6</v>
      </c>
      <c r="K21" s="35"/>
      <c r="L21" s="35">
        <f t="shared" si="2"/>
        <v>0</v>
      </c>
      <c r="M21" s="35">
        <f t="shared" si="3"/>
        <v>0</v>
      </c>
      <c r="N21" s="43">
        <f t="shared" si="4"/>
        <v>0</v>
      </c>
      <c r="Q21" t="s">
        <v>57</v>
      </c>
      <c r="R21" t="s">
        <v>58</v>
      </c>
    </row>
    <row r="22" spans="1:23" ht="15.6">
      <c r="A22" s="34">
        <v>46252</v>
      </c>
      <c r="B22" s="35" t="s">
        <v>10</v>
      </c>
      <c r="C22" s="35">
        <v>5.2</v>
      </c>
      <c r="D22" s="35"/>
      <c r="E22" s="35">
        <f t="shared" si="0"/>
        <v>0</v>
      </c>
      <c r="F22" s="35">
        <f t="shared" si="1"/>
        <v>0</v>
      </c>
      <c r="G22" s="42"/>
      <c r="H22" s="34">
        <v>46252</v>
      </c>
      <c r="I22" s="35" t="s">
        <v>10</v>
      </c>
      <c r="J22" s="38">
        <v>6</v>
      </c>
      <c r="K22" s="35"/>
      <c r="L22" s="35">
        <f t="shared" si="2"/>
        <v>0</v>
      </c>
      <c r="M22" s="35">
        <f t="shared" si="3"/>
        <v>0</v>
      </c>
      <c r="N22" s="43">
        <f t="shared" si="4"/>
        <v>0</v>
      </c>
    </row>
    <row r="23" spans="1:23" ht="15.6">
      <c r="A23" s="34">
        <v>46253</v>
      </c>
      <c r="B23" s="35" t="s">
        <v>10</v>
      </c>
      <c r="C23" s="35">
        <v>5.2</v>
      </c>
      <c r="D23" s="35"/>
      <c r="E23" s="35">
        <f t="shared" si="0"/>
        <v>0</v>
      </c>
      <c r="F23" s="35">
        <f t="shared" si="1"/>
        <v>0</v>
      </c>
      <c r="G23" s="36"/>
      <c r="H23" s="34">
        <v>46253</v>
      </c>
      <c r="I23" s="35" t="s">
        <v>10</v>
      </c>
      <c r="J23" s="38">
        <v>6</v>
      </c>
      <c r="K23" s="35"/>
      <c r="L23" s="35">
        <f t="shared" si="2"/>
        <v>0</v>
      </c>
      <c r="M23" s="35">
        <f t="shared" si="3"/>
        <v>0</v>
      </c>
      <c r="N23" s="43">
        <f t="shared" si="4"/>
        <v>0</v>
      </c>
    </row>
    <row r="24" spans="1:23">
      <c r="A24" s="34">
        <v>46254</v>
      </c>
      <c r="B24" s="40" t="s">
        <v>56</v>
      </c>
      <c r="C24" s="40">
        <v>25</v>
      </c>
      <c r="D24" s="40"/>
      <c r="E24" s="40">
        <f t="shared" si="0"/>
        <v>0</v>
      </c>
      <c r="F24" s="40">
        <f t="shared" si="1"/>
        <v>0</v>
      </c>
      <c r="G24" s="39"/>
      <c r="H24" s="34">
        <v>46254</v>
      </c>
      <c r="I24" s="40" t="s">
        <v>56</v>
      </c>
      <c r="J24" s="40">
        <v>22</v>
      </c>
      <c r="K24" s="40"/>
      <c r="L24" s="40">
        <f t="shared" si="2"/>
        <v>0</v>
      </c>
      <c r="M24" s="40">
        <f t="shared" si="3"/>
        <v>0</v>
      </c>
      <c r="N24" s="41">
        <f t="shared" si="4"/>
        <v>0</v>
      </c>
    </row>
    <row r="25" spans="1:23" ht="15.6">
      <c r="A25" s="34">
        <v>46255</v>
      </c>
      <c r="B25" s="35" t="s">
        <v>10</v>
      </c>
      <c r="C25" s="38">
        <v>5.2</v>
      </c>
      <c r="D25" s="35"/>
      <c r="E25" s="35">
        <f t="shared" si="0"/>
        <v>0</v>
      </c>
      <c r="F25" s="35">
        <f t="shared" si="1"/>
        <v>0</v>
      </c>
      <c r="G25" s="36" t="s">
        <v>14</v>
      </c>
      <c r="H25" s="34">
        <v>46255</v>
      </c>
      <c r="I25" s="35" t="s">
        <v>10</v>
      </c>
      <c r="J25" s="38">
        <v>6</v>
      </c>
      <c r="K25" s="35"/>
      <c r="L25" s="35">
        <f t="shared" si="2"/>
        <v>0</v>
      </c>
      <c r="M25" s="35">
        <f t="shared" si="3"/>
        <v>0</v>
      </c>
      <c r="N25" s="43">
        <f t="shared" si="4"/>
        <v>0</v>
      </c>
    </row>
    <row r="26" spans="1:23" ht="15.6">
      <c r="A26" s="34">
        <v>46256</v>
      </c>
      <c r="B26" s="35" t="s">
        <v>10</v>
      </c>
      <c r="C26" s="38">
        <v>5.2</v>
      </c>
      <c r="D26" s="35"/>
      <c r="E26" s="35">
        <f t="shared" si="0"/>
        <v>0</v>
      </c>
      <c r="F26" s="35">
        <f t="shared" si="1"/>
        <v>0</v>
      </c>
      <c r="G26" s="36"/>
      <c r="H26" s="34">
        <v>46256</v>
      </c>
      <c r="I26" s="35" t="s">
        <v>10</v>
      </c>
      <c r="J26" s="38">
        <v>6</v>
      </c>
      <c r="K26" s="35"/>
      <c r="L26" s="35">
        <f t="shared" si="2"/>
        <v>0</v>
      </c>
      <c r="M26" s="35">
        <f t="shared" si="3"/>
        <v>0</v>
      </c>
      <c r="N26" s="43">
        <f t="shared" si="4"/>
        <v>0</v>
      </c>
    </row>
    <row r="27" spans="1:23" ht="15.6">
      <c r="A27" s="34">
        <v>46257</v>
      </c>
      <c r="B27" s="35" t="s">
        <v>10</v>
      </c>
      <c r="C27" s="38">
        <v>5.2</v>
      </c>
      <c r="D27" s="35"/>
      <c r="E27" s="35">
        <f t="shared" si="0"/>
        <v>0</v>
      </c>
      <c r="F27" s="35">
        <f t="shared" si="1"/>
        <v>0</v>
      </c>
      <c r="G27" s="39"/>
      <c r="H27" s="34">
        <v>46257</v>
      </c>
      <c r="I27" s="35" t="s">
        <v>10</v>
      </c>
      <c r="J27" s="38">
        <v>6</v>
      </c>
      <c r="K27" s="35"/>
      <c r="L27" s="35">
        <f t="shared" si="2"/>
        <v>0</v>
      </c>
      <c r="M27" s="35">
        <f t="shared" si="3"/>
        <v>0</v>
      </c>
      <c r="N27" s="43">
        <f t="shared" si="4"/>
        <v>0</v>
      </c>
    </row>
    <row r="28" spans="1:23" ht="15.6">
      <c r="A28" s="34">
        <v>46258</v>
      </c>
      <c r="B28" s="35" t="s">
        <v>10</v>
      </c>
      <c r="C28" s="38">
        <v>5.2</v>
      </c>
      <c r="D28" s="35"/>
      <c r="E28" s="35">
        <f t="shared" si="0"/>
        <v>0</v>
      </c>
      <c r="F28" s="35">
        <f t="shared" si="1"/>
        <v>0</v>
      </c>
      <c r="G28" s="36"/>
      <c r="H28" s="34">
        <v>46258</v>
      </c>
      <c r="I28" s="35" t="s">
        <v>10</v>
      </c>
      <c r="J28" s="38">
        <v>6</v>
      </c>
      <c r="K28" s="35"/>
      <c r="L28" s="35">
        <f t="shared" si="2"/>
        <v>0</v>
      </c>
      <c r="M28" s="35">
        <f t="shared" si="3"/>
        <v>0</v>
      </c>
      <c r="N28" s="43">
        <f t="shared" si="4"/>
        <v>0</v>
      </c>
    </row>
    <row r="29" spans="1:23" ht="15.6">
      <c r="A29" s="34">
        <v>46259</v>
      </c>
      <c r="B29" s="35" t="s">
        <v>10</v>
      </c>
      <c r="C29" s="38">
        <v>5.2</v>
      </c>
      <c r="D29" s="35"/>
      <c r="E29" s="35">
        <f t="shared" si="0"/>
        <v>0</v>
      </c>
      <c r="F29" s="35">
        <f t="shared" si="1"/>
        <v>0</v>
      </c>
      <c r="G29" s="39"/>
      <c r="H29" s="34">
        <v>46259</v>
      </c>
      <c r="I29" s="35" t="s">
        <v>10</v>
      </c>
      <c r="J29" s="38">
        <v>6</v>
      </c>
      <c r="K29" s="35"/>
      <c r="L29" s="35">
        <f t="shared" si="2"/>
        <v>0</v>
      </c>
      <c r="M29" s="35">
        <f t="shared" si="3"/>
        <v>0</v>
      </c>
      <c r="N29" s="43">
        <f t="shared" si="4"/>
        <v>0</v>
      </c>
    </row>
    <row r="30" spans="1:23" ht="15.6">
      <c r="A30" s="34">
        <v>46260</v>
      </c>
      <c r="B30" s="35" t="s">
        <v>10</v>
      </c>
      <c r="C30" s="38">
        <v>5.2</v>
      </c>
      <c r="D30" s="35"/>
      <c r="E30" s="35">
        <f t="shared" si="0"/>
        <v>0</v>
      </c>
      <c r="F30" s="35">
        <f t="shared" si="1"/>
        <v>0</v>
      </c>
      <c r="G30" s="39"/>
      <c r="H30" s="34">
        <v>46260</v>
      </c>
      <c r="I30" s="35" t="s">
        <v>10</v>
      </c>
      <c r="J30" s="38">
        <v>6</v>
      </c>
      <c r="K30" s="35"/>
      <c r="L30" s="35">
        <f t="shared" si="2"/>
        <v>0</v>
      </c>
      <c r="M30" s="35">
        <f t="shared" si="3"/>
        <v>0</v>
      </c>
      <c r="N30" s="43">
        <f t="shared" si="4"/>
        <v>0</v>
      </c>
    </row>
    <row r="31" spans="1:23">
      <c r="A31" s="34">
        <v>46261</v>
      </c>
      <c r="B31" s="40" t="s">
        <v>56</v>
      </c>
      <c r="C31" s="40">
        <v>25</v>
      </c>
      <c r="D31" s="40"/>
      <c r="E31" s="40">
        <f t="shared" si="0"/>
        <v>0</v>
      </c>
      <c r="F31" s="40">
        <f t="shared" si="1"/>
        <v>0</v>
      </c>
      <c r="G31" s="39"/>
      <c r="H31" s="34">
        <v>46261</v>
      </c>
      <c r="I31" s="40" t="s">
        <v>56</v>
      </c>
      <c r="J31" s="40">
        <v>22</v>
      </c>
      <c r="K31" s="40"/>
      <c r="L31" s="40">
        <f t="shared" si="2"/>
        <v>0</v>
      </c>
      <c r="M31" s="40">
        <f t="shared" si="3"/>
        <v>0</v>
      </c>
      <c r="N31" s="41">
        <f t="shared" si="4"/>
        <v>0</v>
      </c>
    </row>
    <row r="32" spans="1:23" ht="15.6">
      <c r="A32" s="34">
        <v>46262</v>
      </c>
      <c r="B32" s="35" t="s">
        <v>10</v>
      </c>
      <c r="C32" s="38">
        <v>5.2</v>
      </c>
      <c r="D32" s="35"/>
      <c r="E32" s="35">
        <f t="shared" si="0"/>
        <v>0</v>
      </c>
      <c r="F32" s="35">
        <f t="shared" si="1"/>
        <v>0</v>
      </c>
      <c r="G32" s="36" t="s">
        <v>14</v>
      </c>
      <c r="H32" s="34">
        <v>46262</v>
      </c>
      <c r="I32" s="35" t="s">
        <v>10</v>
      </c>
      <c r="J32" s="38">
        <v>6</v>
      </c>
      <c r="K32" s="35"/>
      <c r="L32" s="35">
        <f t="shared" si="2"/>
        <v>0</v>
      </c>
      <c r="M32" s="35">
        <f t="shared" si="3"/>
        <v>0</v>
      </c>
      <c r="N32" s="43">
        <f t="shared" si="4"/>
        <v>0</v>
      </c>
    </row>
    <row r="33" spans="1:14" ht="15.6">
      <c r="A33" s="34">
        <v>46263</v>
      </c>
      <c r="B33" s="35" t="s">
        <v>10</v>
      </c>
      <c r="C33" s="38">
        <v>5.2</v>
      </c>
      <c r="D33" s="35"/>
      <c r="E33" s="35">
        <f t="shared" si="0"/>
        <v>0</v>
      </c>
      <c r="F33" s="35">
        <f t="shared" si="1"/>
        <v>0</v>
      </c>
      <c r="G33" s="39"/>
      <c r="H33" s="34">
        <v>46263</v>
      </c>
      <c r="I33" s="35" t="s">
        <v>10</v>
      </c>
      <c r="J33" s="38">
        <v>6</v>
      </c>
      <c r="K33" s="35"/>
      <c r="L33" s="35">
        <f t="shared" si="2"/>
        <v>0</v>
      </c>
      <c r="M33" s="35">
        <f t="shared" si="3"/>
        <v>0</v>
      </c>
      <c r="N33" s="43">
        <f t="shared" si="4"/>
        <v>0</v>
      </c>
    </row>
    <row r="34" spans="1:14" ht="15.6">
      <c r="A34" s="34">
        <v>46264</v>
      </c>
      <c r="B34" s="35" t="s">
        <v>10</v>
      </c>
      <c r="C34" s="38">
        <v>5.2</v>
      </c>
      <c r="D34" s="35"/>
      <c r="E34" s="35">
        <f t="shared" si="0"/>
        <v>0</v>
      </c>
      <c r="F34" s="35">
        <f t="shared" si="1"/>
        <v>0</v>
      </c>
      <c r="G34" s="39"/>
      <c r="H34" s="34">
        <v>46264</v>
      </c>
      <c r="I34" s="35" t="s">
        <v>10</v>
      </c>
      <c r="J34" s="38">
        <v>6</v>
      </c>
      <c r="K34" s="35"/>
      <c r="L34" s="35">
        <f t="shared" si="2"/>
        <v>0</v>
      </c>
      <c r="M34" s="35">
        <f t="shared" si="3"/>
        <v>0</v>
      </c>
      <c r="N34" s="43">
        <f t="shared" si="4"/>
        <v>0</v>
      </c>
    </row>
    <row r="35" spans="1:14" ht="15.6">
      <c r="A35" s="34">
        <v>46265</v>
      </c>
      <c r="B35" s="35" t="s">
        <v>10</v>
      </c>
      <c r="C35" s="38">
        <v>5.2</v>
      </c>
      <c r="D35" s="35"/>
      <c r="E35" s="35">
        <f t="shared" si="0"/>
        <v>0</v>
      </c>
      <c r="F35" s="35">
        <f t="shared" si="1"/>
        <v>0</v>
      </c>
      <c r="G35" s="39"/>
      <c r="H35" s="34">
        <v>46265</v>
      </c>
      <c r="I35" s="35" t="s">
        <v>10</v>
      </c>
      <c r="J35" s="38">
        <v>6</v>
      </c>
      <c r="K35" s="35"/>
      <c r="L35" s="35">
        <f t="shared" si="2"/>
        <v>0</v>
      </c>
      <c r="M35" s="35">
        <f t="shared" si="3"/>
        <v>0</v>
      </c>
      <c r="N35" s="43">
        <f t="shared" si="4"/>
        <v>0</v>
      </c>
    </row>
  </sheetData>
  <mergeCells count="16">
    <mergeCell ref="N3:N4"/>
    <mergeCell ref="A1:D2"/>
    <mergeCell ref="E1:I2"/>
    <mergeCell ref="J1:N2"/>
    <mergeCell ref="A3:A4"/>
    <mergeCell ref="B3:B4"/>
    <mergeCell ref="C3:C4"/>
    <mergeCell ref="D3:D4"/>
    <mergeCell ref="E3:E4"/>
    <mergeCell ref="F3:F4"/>
    <mergeCell ref="H3:H4"/>
    <mergeCell ref="I3:I4"/>
    <mergeCell ref="J3:J4"/>
    <mergeCell ref="K3:K4"/>
    <mergeCell ref="L3:L4"/>
    <mergeCell ref="M3:M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topLeftCell="C1" workbookViewId="0">
      <selection activeCell="P17" sqref="P17"/>
    </sheetView>
  </sheetViews>
  <sheetFormatPr defaultRowHeight="14.4"/>
  <cols>
    <col min="1" max="1" width="9.44140625" customWidth="1"/>
    <col min="2" max="2" width="20.88671875" customWidth="1"/>
    <col min="3" max="3" width="16.33203125" customWidth="1"/>
    <col min="4" max="4" width="18.109375" customWidth="1"/>
    <col min="5" max="6" width="18.44140625" customWidth="1"/>
    <col min="7" max="10" width="20.88671875" customWidth="1"/>
    <col min="11" max="11" width="18.109375" customWidth="1"/>
    <col min="12" max="15" width="20.88671875" customWidth="1"/>
    <col min="16" max="16" width="32.109375" customWidth="1"/>
    <col min="17" max="17" width="20.88671875" customWidth="1"/>
  </cols>
  <sheetData>
    <row r="1" spans="1:17" ht="40.5" customHeight="1">
      <c r="A1" s="93" t="s">
        <v>30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</row>
    <row r="2" spans="1:17" ht="30.75" customHeight="1">
      <c r="A2" s="94" t="s">
        <v>16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</row>
    <row r="3" spans="1:17" ht="24.75" customHeight="1">
      <c r="A3" s="14" t="s">
        <v>17</v>
      </c>
      <c r="B3" s="14" t="s">
        <v>29</v>
      </c>
      <c r="C3" s="14" t="s">
        <v>31</v>
      </c>
      <c r="D3" s="14" t="s">
        <v>32</v>
      </c>
      <c r="E3" s="14" t="s">
        <v>33</v>
      </c>
      <c r="F3" s="14" t="s">
        <v>70</v>
      </c>
      <c r="G3" s="14" t="s">
        <v>39</v>
      </c>
      <c r="H3" s="14" t="s">
        <v>18</v>
      </c>
      <c r="I3" s="14" t="s">
        <v>40</v>
      </c>
      <c r="J3" s="14" t="s">
        <v>19</v>
      </c>
      <c r="K3" s="14" t="s">
        <v>20</v>
      </c>
      <c r="L3" s="14" t="s">
        <v>21</v>
      </c>
      <c r="M3" s="14" t="s">
        <v>22</v>
      </c>
      <c r="N3" s="14" t="s">
        <v>34</v>
      </c>
      <c r="O3" s="14" t="s">
        <v>71</v>
      </c>
      <c r="P3" s="14" t="s">
        <v>23</v>
      </c>
      <c r="Q3" s="14" t="s">
        <v>24</v>
      </c>
    </row>
    <row r="4" spans="1:17" ht="31.5" customHeight="1">
      <c r="A4" s="15">
        <v>1</v>
      </c>
      <c r="B4" s="15" t="s">
        <v>15</v>
      </c>
      <c r="C4" s="25">
        <v>46259</v>
      </c>
      <c r="D4" s="15" t="s">
        <v>37</v>
      </c>
      <c r="E4" s="15">
        <v>598</v>
      </c>
      <c r="F4" s="15">
        <v>210000</v>
      </c>
      <c r="G4" s="25">
        <v>46260</v>
      </c>
      <c r="H4" s="15" t="s">
        <v>35</v>
      </c>
      <c r="I4" s="25">
        <v>46261</v>
      </c>
      <c r="J4" s="15">
        <v>254100</v>
      </c>
      <c r="K4" s="26">
        <f>J4*2%</f>
        <v>5082</v>
      </c>
      <c r="L4" s="15">
        <f>J4-K4</f>
        <v>249018</v>
      </c>
      <c r="M4" s="15">
        <v>4989219</v>
      </c>
      <c r="N4" s="27">
        <f>J4-K4-L4</f>
        <v>0</v>
      </c>
      <c r="O4" s="27">
        <f>L4-F4</f>
        <v>39018</v>
      </c>
      <c r="P4" s="16" t="s">
        <v>25</v>
      </c>
      <c r="Q4" s="15" t="s">
        <v>26</v>
      </c>
    </row>
    <row r="5" spans="1:17" ht="29.25" customHeight="1">
      <c r="A5" s="15">
        <v>2</v>
      </c>
      <c r="B5" s="15" t="s">
        <v>15</v>
      </c>
      <c r="C5" s="25">
        <v>46260</v>
      </c>
      <c r="D5" s="15" t="s">
        <v>38</v>
      </c>
      <c r="E5" s="15">
        <v>599</v>
      </c>
      <c r="F5" s="15">
        <v>190000</v>
      </c>
      <c r="G5" s="25">
        <v>46261</v>
      </c>
      <c r="H5" s="15" t="s">
        <v>36</v>
      </c>
      <c r="I5" s="25">
        <v>46262</v>
      </c>
      <c r="J5" s="15">
        <v>211200</v>
      </c>
      <c r="K5" s="26">
        <f>J5*2%</f>
        <v>4224</v>
      </c>
      <c r="L5" s="15"/>
      <c r="M5" s="15"/>
      <c r="N5" s="27">
        <f t="shared" ref="N5" si="0">J5-K5-L5</f>
        <v>206976</v>
      </c>
      <c r="O5" s="27">
        <f t="shared" ref="O5:O11" si="1">L5-F5</f>
        <v>-190000</v>
      </c>
      <c r="P5" s="16" t="s">
        <v>27</v>
      </c>
      <c r="Q5" s="15" t="s">
        <v>28</v>
      </c>
    </row>
    <row r="6" spans="1:17" ht="29.25" customHeight="1">
      <c r="A6" s="15">
        <v>3</v>
      </c>
      <c r="B6" s="15"/>
      <c r="C6" s="15"/>
      <c r="D6" s="15"/>
      <c r="E6" s="15"/>
      <c r="F6" s="15"/>
      <c r="G6" s="15"/>
      <c r="H6" s="15"/>
      <c r="I6" s="15"/>
      <c r="J6" s="15">
        <v>742500</v>
      </c>
      <c r="K6" s="26"/>
      <c r="L6" s="15"/>
      <c r="M6" s="15"/>
      <c r="N6" s="27"/>
      <c r="O6" s="27">
        <f t="shared" si="1"/>
        <v>0</v>
      </c>
      <c r="P6" s="16"/>
      <c r="Q6" s="15"/>
    </row>
    <row r="7" spans="1:17" ht="29.25" customHeight="1">
      <c r="A7" s="15">
        <v>4</v>
      </c>
      <c r="B7" s="15"/>
      <c r="C7" s="15"/>
      <c r="D7" s="15"/>
      <c r="E7" s="15"/>
      <c r="F7" s="15"/>
      <c r="G7" s="15"/>
      <c r="H7" s="15"/>
      <c r="I7" s="15"/>
      <c r="J7" s="15">
        <v>1080000</v>
      </c>
      <c r="K7" s="26"/>
      <c r="L7" s="15"/>
      <c r="M7" s="15"/>
      <c r="N7" s="27"/>
      <c r="O7" s="27">
        <f t="shared" si="1"/>
        <v>0</v>
      </c>
      <c r="P7" s="16"/>
      <c r="Q7" s="15"/>
    </row>
    <row r="8" spans="1:17" ht="29.25" customHeight="1">
      <c r="A8" s="15">
        <v>5</v>
      </c>
      <c r="B8" s="15"/>
      <c r="C8" s="15"/>
      <c r="D8" s="15"/>
      <c r="E8" s="15"/>
      <c r="F8" s="15"/>
      <c r="G8" s="15"/>
      <c r="H8" s="15"/>
      <c r="I8" s="15"/>
      <c r="J8" s="15">
        <v>275000</v>
      </c>
      <c r="K8" s="26"/>
      <c r="L8" s="15"/>
      <c r="M8" s="15"/>
      <c r="N8" s="27"/>
      <c r="O8" s="27">
        <f t="shared" si="1"/>
        <v>0</v>
      </c>
      <c r="P8" s="16"/>
      <c r="Q8" s="15"/>
    </row>
    <row r="9" spans="1:17" ht="29.25" customHeight="1">
      <c r="A9" s="15">
        <v>6</v>
      </c>
      <c r="B9" s="15"/>
      <c r="C9" s="15"/>
      <c r="D9" s="15"/>
      <c r="E9" s="15"/>
      <c r="F9" s="15"/>
      <c r="G9" s="15"/>
      <c r="H9" s="15"/>
      <c r="I9" s="15"/>
      <c r="J9" s="15">
        <v>275000</v>
      </c>
      <c r="K9" s="26"/>
      <c r="L9" s="15"/>
      <c r="M9" s="15"/>
      <c r="N9" s="27"/>
      <c r="O9" s="27">
        <f t="shared" si="1"/>
        <v>0</v>
      </c>
      <c r="P9" s="16"/>
      <c r="Q9" s="15"/>
    </row>
    <row r="10" spans="1:17" ht="29.25" customHeight="1">
      <c r="A10" s="15">
        <v>7</v>
      </c>
      <c r="B10" s="15"/>
      <c r="C10" s="15"/>
      <c r="D10" s="15"/>
      <c r="E10" s="15"/>
      <c r="F10" s="15"/>
      <c r="G10" s="15"/>
      <c r="H10" s="15"/>
      <c r="I10" s="15"/>
      <c r="J10" s="15">
        <v>440000</v>
      </c>
      <c r="K10" s="26"/>
      <c r="L10" s="15"/>
      <c r="M10" s="15"/>
      <c r="N10" s="27"/>
      <c r="O10" s="27">
        <f t="shared" si="1"/>
        <v>0</v>
      </c>
      <c r="P10" s="16"/>
      <c r="Q10" s="15"/>
    </row>
    <row r="11" spans="1:17" ht="29.25" customHeight="1">
      <c r="A11" s="15">
        <v>8</v>
      </c>
      <c r="B11" s="15"/>
      <c r="C11" s="15"/>
      <c r="D11" s="15"/>
      <c r="E11" s="15"/>
      <c r="F11" s="15"/>
      <c r="G11" s="15"/>
      <c r="H11" s="15"/>
      <c r="I11" s="15"/>
      <c r="J11" s="15">
        <v>82500</v>
      </c>
      <c r="K11" s="26"/>
      <c r="L11" s="15"/>
      <c r="M11" s="15"/>
      <c r="N11" s="27"/>
      <c r="O11" s="27">
        <f t="shared" si="1"/>
        <v>0</v>
      </c>
      <c r="P11" s="16"/>
      <c r="Q11" s="15"/>
    </row>
    <row r="12" spans="1:17" ht="20.399999999999999">
      <c r="A12" s="17"/>
      <c r="B12" s="17"/>
      <c r="C12" s="17"/>
      <c r="D12" s="17"/>
      <c r="E12" s="17"/>
      <c r="F12" s="29"/>
      <c r="G12" s="28"/>
      <c r="H12" s="18"/>
      <c r="I12" s="28"/>
      <c r="J12" s="22"/>
      <c r="K12" s="24"/>
      <c r="L12" s="23"/>
      <c r="M12" s="19"/>
      <c r="N12" s="19"/>
      <c r="O12" s="19"/>
      <c r="P12" s="17"/>
      <c r="Q12" s="17"/>
    </row>
    <row r="13" spans="1:17" ht="15">
      <c r="A13" s="20"/>
      <c r="B13" s="20"/>
      <c r="C13" s="20"/>
      <c r="D13" s="20"/>
      <c r="E13" s="20"/>
      <c r="F13" s="20"/>
      <c r="G13" s="20"/>
      <c r="H13" s="20"/>
      <c r="I13" s="20"/>
      <c r="J13" s="21"/>
      <c r="K13" s="20"/>
      <c r="L13" s="20"/>
      <c r="M13" s="20"/>
      <c r="N13" s="20"/>
      <c r="O13" s="20"/>
      <c r="P13" s="20"/>
      <c r="Q13" s="20"/>
    </row>
  </sheetData>
  <mergeCells count="2">
    <mergeCell ref="A1:Q1"/>
    <mergeCell ref="A2:Q2"/>
  </mergeCells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opLeftCell="B13" zoomScale="85" zoomScaleNormal="85" workbookViewId="0">
      <selection activeCell="T8" sqref="T8"/>
    </sheetView>
  </sheetViews>
  <sheetFormatPr defaultRowHeight="14.4"/>
  <cols>
    <col min="1" max="1" width="9.44140625" customWidth="1"/>
    <col min="2" max="2" width="21.5546875" customWidth="1"/>
    <col min="3" max="3" width="16.44140625" customWidth="1"/>
    <col min="4" max="4" width="19" customWidth="1"/>
    <col min="5" max="11" width="23.33203125" customWidth="1"/>
    <col min="12" max="15" width="20.88671875" customWidth="1"/>
    <col min="16" max="16" width="18.109375" customWidth="1"/>
    <col min="17" max="19" width="20.88671875" customWidth="1"/>
    <col min="20" max="20" width="32.109375" customWidth="1"/>
    <col min="21" max="21" width="20.88671875" customWidth="1"/>
  </cols>
  <sheetData>
    <row r="1" spans="1:21" ht="40.5" customHeight="1">
      <c r="A1" s="93" t="s">
        <v>30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</row>
    <row r="2" spans="1:21" ht="30.75" customHeight="1">
      <c r="A2" s="94" t="s">
        <v>50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</row>
    <row r="3" spans="1:21" ht="24.75" customHeight="1">
      <c r="A3" s="14" t="s">
        <v>17</v>
      </c>
      <c r="B3" s="14" t="s">
        <v>41</v>
      </c>
      <c r="C3" s="14" t="s">
        <v>31</v>
      </c>
      <c r="D3" s="14" t="s">
        <v>32</v>
      </c>
      <c r="E3" s="14" t="s">
        <v>43</v>
      </c>
      <c r="F3" s="95" t="s">
        <v>44</v>
      </c>
      <c r="G3" s="96"/>
      <c r="H3" s="97"/>
      <c r="I3" s="95" t="s">
        <v>51</v>
      </c>
      <c r="J3" s="97"/>
      <c r="K3" s="96" t="s">
        <v>54</v>
      </c>
      <c r="L3" s="14" t="s">
        <v>39</v>
      </c>
      <c r="M3" s="14" t="s">
        <v>18</v>
      </c>
      <c r="N3" s="14" t="s">
        <v>40</v>
      </c>
      <c r="O3" s="14" t="s">
        <v>19</v>
      </c>
      <c r="P3" s="14" t="s">
        <v>20</v>
      </c>
      <c r="Q3" s="14" t="s">
        <v>21</v>
      </c>
      <c r="R3" s="14" t="s">
        <v>22</v>
      </c>
      <c r="S3" s="14" t="s">
        <v>34</v>
      </c>
      <c r="T3" s="14" t="s">
        <v>23</v>
      </c>
      <c r="U3" s="14" t="s">
        <v>24</v>
      </c>
    </row>
    <row r="4" spans="1:21" ht="24.75" customHeight="1">
      <c r="A4" s="32"/>
      <c r="B4" s="32"/>
      <c r="C4" s="32"/>
      <c r="D4" s="32"/>
      <c r="E4" s="32"/>
      <c r="F4" s="14" t="s">
        <v>44</v>
      </c>
      <c r="G4" s="14" t="s">
        <v>48</v>
      </c>
      <c r="H4" s="14" t="s">
        <v>49</v>
      </c>
      <c r="I4" s="32" t="s">
        <v>52</v>
      </c>
      <c r="J4" s="32" t="s">
        <v>53</v>
      </c>
      <c r="K4" s="98"/>
      <c r="L4" s="32"/>
      <c r="M4" s="32"/>
      <c r="N4" s="32"/>
      <c r="O4" s="32"/>
      <c r="P4" s="32"/>
      <c r="Q4" s="32"/>
      <c r="R4" s="32"/>
      <c r="S4" s="32"/>
      <c r="T4" s="32"/>
      <c r="U4" s="32"/>
    </row>
    <row r="5" spans="1:21" ht="31.5" customHeight="1">
      <c r="A5" s="15">
        <v>1</v>
      </c>
      <c r="B5" s="15" t="s">
        <v>15</v>
      </c>
      <c r="C5" s="25">
        <v>46235</v>
      </c>
      <c r="D5" s="15" t="s">
        <v>42</v>
      </c>
      <c r="E5" s="15" t="s">
        <v>45</v>
      </c>
      <c r="F5" s="15">
        <v>5</v>
      </c>
      <c r="G5" s="15">
        <v>5000</v>
      </c>
      <c r="H5" s="15">
        <f>F5*G5</f>
        <v>25000</v>
      </c>
      <c r="I5" s="15">
        <v>10000</v>
      </c>
      <c r="J5" s="15">
        <f>F5*I5</f>
        <v>50000</v>
      </c>
      <c r="K5" s="15">
        <f>J5-H5</f>
        <v>25000</v>
      </c>
      <c r="L5" s="15"/>
      <c r="M5" s="15"/>
      <c r="N5" s="15"/>
      <c r="O5" s="15"/>
      <c r="P5" s="26"/>
      <c r="Q5" s="15"/>
      <c r="R5" s="15"/>
      <c r="S5" s="27"/>
      <c r="T5" s="16"/>
      <c r="U5" s="15"/>
    </row>
    <row r="6" spans="1:21" ht="29.25" customHeight="1">
      <c r="A6" s="15">
        <v>2</v>
      </c>
      <c r="B6" s="15" t="s">
        <v>15</v>
      </c>
      <c r="C6" s="25">
        <v>46236</v>
      </c>
      <c r="D6" s="15" t="s">
        <v>42</v>
      </c>
      <c r="E6" s="15" t="s">
        <v>47</v>
      </c>
      <c r="F6" s="15">
        <v>8</v>
      </c>
      <c r="G6" s="15">
        <v>5000</v>
      </c>
      <c r="H6" s="15">
        <f t="shared" ref="H6:H14" si="0">F6*G6</f>
        <v>40000</v>
      </c>
      <c r="I6" s="15">
        <v>10000</v>
      </c>
      <c r="J6" s="15">
        <f t="shared" ref="J6:J14" si="1">F6*I6</f>
        <v>80000</v>
      </c>
      <c r="K6" s="15">
        <f t="shared" ref="K6:K14" si="2">J6-H6</f>
        <v>40000</v>
      </c>
      <c r="L6" s="15"/>
      <c r="M6" s="15"/>
      <c r="N6" s="15"/>
      <c r="O6" s="15"/>
      <c r="P6" s="26"/>
      <c r="Q6" s="15"/>
      <c r="R6" s="15"/>
      <c r="S6" s="27"/>
      <c r="T6" s="16"/>
      <c r="U6" s="15"/>
    </row>
    <row r="7" spans="1:21" ht="29.25" customHeight="1">
      <c r="A7" s="15">
        <v>3</v>
      </c>
      <c r="B7" s="15" t="s">
        <v>15</v>
      </c>
      <c r="C7" s="25">
        <v>46237</v>
      </c>
      <c r="D7" s="15" t="s">
        <v>42</v>
      </c>
      <c r="E7" s="15" t="s">
        <v>47</v>
      </c>
      <c r="F7" s="15">
        <v>5</v>
      </c>
      <c r="G7" s="15">
        <v>5000</v>
      </c>
      <c r="H7" s="15">
        <f t="shared" si="0"/>
        <v>25000</v>
      </c>
      <c r="I7" s="15">
        <v>10000</v>
      </c>
      <c r="J7" s="15">
        <f t="shared" si="1"/>
        <v>50000</v>
      </c>
      <c r="K7" s="15">
        <f t="shared" si="2"/>
        <v>25000</v>
      </c>
      <c r="L7" s="15"/>
      <c r="M7" s="15"/>
      <c r="N7" s="15"/>
      <c r="O7" s="15"/>
      <c r="P7" s="26"/>
      <c r="Q7" s="15"/>
      <c r="R7" s="15"/>
      <c r="S7" s="27"/>
      <c r="T7" s="16"/>
      <c r="U7" s="15"/>
    </row>
    <row r="8" spans="1:21" ht="29.25" customHeight="1">
      <c r="A8" s="15">
        <v>4</v>
      </c>
      <c r="B8" s="15" t="s">
        <v>15</v>
      </c>
      <c r="C8" s="25">
        <v>46238</v>
      </c>
      <c r="D8" s="15" t="s">
        <v>42</v>
      </c>
      <c r="E8" s="15" t="s">
        <v>47</v>
      </c>
      <c r="F8" s="15">
        <v>3</v>
      </c>
      <c r="G8" s="15">
        <v>5000</v>
      </c>
      <c r="H8" s="15">
        <f t="shared" si="0"/>
        <v>15000</v>
      </c>
      <c r="I8" s="15">
        <v>10000</v>
      </c>
      <c r="J8" s="15">
        <f t="shared" si="1"/>
        <v>30000</v>
      </c>
      <c r="K8" s="15">
        <f t="shared" si="2"/>
        <v>15000</v>
      </c>
      <c r="L8" s="25">
        <v>46259</v>
      </c>
      <c r="M8" s="15" t="s">
        <v>86</v>
      </c>
      <c r="N8" s="25">
        <v>46264</v>
      </c>
      <c r="O8" s="15">
        <v>1040000</v>
      </c>
      <c r="P8" s="26">
        <f t="shared" ref="P8" si="3">O8*5%</f>
        <v>52000</v>
      </c>
      <c r="Q8" s="15"/>
      <c r="R8" s="15">
        <v>4989219</v>
      </c>
      <c r="S8" s="27">
        <f t="shared" ref="S8" si="4">O8-P8-Q8</f>
        <v>988000</v>
      </c>
      <c r="T8" s="16" t="s">
        <v>46</v>
      </c>
      <c r="U8" s="15" t="s">
        <v>28</v>
      </c>
    </row>
    <row r="9" spans="1:21" ht="29.25" customHeight="1">
      <c r="A9" s="15">
        <v>5</v>
      </c>
      <c r="B9" s="15" t="s">
        <v>15</v>
      </c>
      <c r="C9" s="25">
        <v>46239</v>
      </c>
      <c r="D9" s="15" t="s">
        <v>42</v>
      </c>
      <c r="E9" s="15" t="s">
        <v>47</v>
      </c>
      <c r="F9" s="15">
        <v>17</v>
      </c>
      <c r="G9" s="15">
        <v>5000</v>
      </c>
      <c r="H9" s="15">
        <f t="shared" si="0"/>
        <v>85000</v>
      </c>
      <c r="I9" s="15">
        <v>10000</v>
      </c>
      <c r="J9" s="15">
        <f t="shared" si="1"/>
        <v>170000</v>
      </c>
      <c r="K9" s="15">
        <f t="shared" si="2"/>
        <v>85000</v>
      </c>
      <c r="L9" s="15"/>
      <c r="M9" s="15"/>
      <c r="N9" s="15"/>
      <c r="O9" s="15"/>
      <c r="P9" s="26"/>
      <c r="Q9" s="15"/>
      <c r="R9" s="15"/>
      <c r="S9" s="27"/>
      <c r="T9" s="16"/>
      <c r="U9" s="15"/>
    </row>
    <row r="10" spans="1:21" ht="29.25" customHeight="1">
      <c r="A10" s="15">
        <v>6</v>
      </c>
      <c r="B10" s="15" t="s">
        <v>15</v>
      </c>
      <c r="C10" s="25">
        <v>46240</v>
      </c>
      <c r="D10" s="15" t="s">
        <v>42</v>
      </c>
      <c r="E10" s="15" t="s">
        <v>47</v>
      </c>
      <c r="F10" s="15">
        <v>10</v>
      </c>
      <c r="G10" s="15">
        <v>5000</v>
      </c>
      <c r="H10" s="15">
        <f t="shared" si="0"/>
        <v>50000</v>
      </c>
      <c r="I10" s="15">
        <v>10000</v>
      </c>
      <c r="J10" s="15">
        <f t="shared" si="1"/>
        <v>100000</v>
      </c>
      <c r="K10" s="15">
        <f t="shared" si="2"/>
        <v>50000</v>
      </c>
      <c r="L10" s="15"/>
      <c r="M10" s="15"/>
      <c r="N10" s="15"/>
      <c r="O10" s="15"/>
      <c r="P10" s="26"/>
      <c r="Q10" s="15"/>
      <c r="R10" s="15"/>
      <c r="S10" s="27"/>
      <c r="T10" s="16"/>
      <c r="U10" s="15"/>
    </row>
    <row r="11" spans="1:21" ht="29.25" customHeight="1">
      <c r="A11" s="15">
        <v>7</v>
      </c>
      <c r="B11" s="15" t="s">
        <v>15</v>
      </c>
      <c r="C11" s="25">
        <v>46241</v>
      </c>
      <c r="D11" s="15" t="s">
        <v>42</v>
      </c>
      <c r="E11" s="15" t="s">
        <v>47</v>
      </c>
      <c r="F11" s="15">
        <v>13</v>
      </c>
      <c r="G11" s="15">
        <v>5000</v>
      </c>
      <c r="H11" s="15">
        <f t="shared" si="0"/>
        <v>65000</v>
      </c>
      <c r="I11" s="15">
        <v>10000</v>
      </c>
      <c r="J11" s="15">
        <f t="shared" si="1"/>
        <v>130000</v>
      </c>
      <c r="K11" s="15">
        <f t="shared" si="2"/>
        <v>65000</v>
      </c>
      <c r="L11" s="15"/>
      <c r="M11" s="15"/>
      <c r="N11" s="15"/>
      <c r="O11" s="15"/>
      <c r="P11" s="26"/>
      <c r="Q11" s="15"/>
      <c r="R11" s="15"/>
      <c r="S11" s="27"/>
      <c r="T11" s="16"/>
      <c r="U11" s="15"/>
    </row>
    <row r="12" spans="1:21" ht="29.25" customHeight="1">
      <c r="A12" s="15">
        <v>8</v>
      </c>
      <c r="B12" s="15" t="s">
        <v>15</v>
      </c>
      <c r="C12" s="25">
        <v>46242</v>
      </c>
      <c r="D12" s="15" t="s">
        <v>42</v>
      </c>
      <c r="E12" s="15" t="s">
        <v>47</v>
      </c>
      <c r="F12" s="15">
        <v>17</v>
      </c>
      <c r="G12" s="15">
        <v>5000</v>
      </c>
      <c r="H12" s="15">
        <f t="shared" si="0"/>
        <v>85000</v>
      </c>
      <c r="I12" s="15">
        <v>10000</v>
      </c>
      <c r="J12" s="15">
        <f t="shared" si="1"/>
        <v>170000</v>
      </c>
      <c r="K12" s="15">
        <f t="shared" si="2"/>
        <v>85000</v>
      </c>
      <c r="L12" s="15"/>
      <c r="M12" s="15"/>
      <c r="N12" s="15"/>
      <c r="O12" s="15"/>
      <c r="P12" s="26"/>
      <c r="Q12" s="15"/>
      <c r="R12" s="15"/>
      <c r="S12" s="27"/>
      <c r="T12" s="16"/>
      <c r="U12" s="15"/>
    </row>
    <row r="13" spans="1:21" ht="29.25" customHeight="1">
      <c r="A13" s="15">
        <v>9</v>
      </c>
      <c r="B13" s="15" t="s">
        <v>15</v>
      </c>
      <c r="C13" s="25">
        <v>46243</v>
      </c>
      <c r="D13" s="15" t="s">
        <v>42</v>
      </c>
      <c r="E13" s="15" t="s">
        <v>47</v>
      </c>
      <c r="F13" s="30">
        <v>19</v>
      </c>
      <c r="G13" s="15">
        <v>5000</v>
      </c>
      <c r="H13" s="15">
        <f t="shared" si="0"/>
        <v>95000</v>
      </c>
      <c r="I13" s="15">
        <v>10000</v>
      </c>
      <c r="J13" s="15">
        <f t="shared" si="1"/>
        <v>190000</v>
      </c>
      <c r="K13" s="15">
        <f t="shared" si="2"/>
        <v>95000</v>
      </c>
      <c r="L13" s="30"/>
      <c r="M13" s="15"/>
      <c r="N13" s="30"/>
      <c r="O13" s="30"/>
      <c r="P13" s="26"/>
      <c r="Q13" s="31"/>
      <c r="R13" s="15"/>
      <c r="S13" s="27"/>
      <c r="T13" s="16"/>
      <c r="U13" s="15"/>
    </row>
    <row r="14" spans="1:21" ht="29.25" customHeight="1">
      <c r="A14" s="15">
        <v>10</v>
      </c>
      <c r="B14" s="15" t="s">
        <v>15</v>
      </c>
      <c r="C14" s="25">
        <v>46244</v>
      </c>
      <c r="D14" s="15" t="s">
        <v>42</v>
      </c>
      <c r="E14" s="15" t="s">
        <v>47</v>
      </c>
      <c r="F14" s="30">
        <v>7</v>
      </c>
      <c r="G14" s="15">
        <v>5000</v>
      </c>
      <c r="H14" s="15">
        <f t="shared" si="0"/>
        <v>35000</v>
      </c>
      <c r="I14" s="15">
        <v>10000</v>
      </c>
      <c r="J14" s="15">
        <f t="shared" si="1"/>
        <v>70000</v>
      </c>
      <c r="K14" s="15">
        <f t="shared" si="2"/>
        <v>35000</v>
      </c>
      <c r="L14" s="30"/>
      <c r="M14" s="15"/>
      <c r="N14" s="30"/>
      <c r="O14" s="30"/>
      <c r="P14" s="26"/>
      <c r="Q14" s="31"/>
      <c r="R14" s="15"/>
      <c r="S14" s="27"/>
      <c r="T14" s="16"/>
      <c r="U14" s="15"/>
    </row>
    <row r="15" spans="1:21" ht="29.25" customHeight="1">
      <c r="A15" s="15"/>
      <c r="B15" s="15"/>
      <c r="C15" s="25"/>
      <c r="D15" s="15"/>
      <c r="E15" s="15"/>
      <c r="F15" s="30"/>
      <c r="G15" s="30"/>
      <c r="H15" s="30"/>
      <c r="I15" s="30"/>
      <c r="J15" s="30"/>
      <c r="K15" s="30"/>
      <c r="L15" s="30"/>
      <c r="M15" s="15"/>
      <c r="N15" s="30"/>
      <c r="O15" s="30"/>
      <c r="P15" s="26"/>
      <c r="Q15" s="31"/>
      <c r="R15" s="15"/>
      <c r="S15" s="27"/>
      <c r="T15" s="16"/>
      <c r="U15" s="15"/>
    </row>
    <row r="16" spans="1:21" ht="29.25" customHeight="1">
      <c r="A16" s="15"/>
      <c r="B16" s="15"/>
      <c r="C16" s="25"/>
      <c r="D16" s="15"/>
      <c r="E16" s="15"/>
      <c r="F16" s="30"/>
      <c r="G16" s="30"/>
      <c r="H16" s="30">
        <f>SUM(H5:H15)</f>
        <v>520000</v>
      </c>
      <c r="I16" s="30"/>
      <c r="J16" s="30">
        <f>SUM(J5:J15)</f>
        <v>1040000</v>
      </c>
      <c r="K16" s="30">
        <f>SUM(K5:K15)</f>
        <v>520000</v>
      </c>
      <c r="L16" s="30"/>
      <c r="M16" s="15"/>
      <c r="N16" s="30"/>
      <c r="O16" s="30"/>
      <c r="P16" s="26"/>
      <c r="Q16" s="31"/>
      <c r="R16" s="15"/>
      <c r="S16" s="27"/>
      <c r="T16" s="16"/>
      <c r="U16" s="15"/>
    </row>
    <row r="17" spans="1:21" ht="20.399999999999999">
      <c r="A17" s="17"/>
      <c r="B17" s="17"/>
      <c r="C17" s="17"/>
      <c r="D17" s="17"/>
      <c r="E17" s="17"/>
      <c r="F17" s="29"/>
      <c r="G17" s="29"/>
      <c r="H17" s="29"/>
      <c r="I17" s="29"/>
      <c r="J17" s="29"/>
      <c r="K17" s="29"/>
      <c r="L17" s="28"/>
      <c r="M17" s="18"/>
      <c r="N17" s="28"/>
      <c r="O17" s="22"/>
      <c r="P17" s="24"/>
      <c r="Q17" s="23"/>
      <c r="R17" s="19"/>
      <c r="S17" s="19"/>
      <c r="T17" s="17"/>
      <c r="U17" s="17"/>
    </row>
    <row r="18" spans="1:21" ht="1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20"/>
      <c r="Q18" s="20"/>
      <c r="R18" s="20"/>
      <c r="S18" s="20"/>
      <c r="T18" s="20"/>
      <c r="U18" s="20"/>
    </row>
  </sheetData>
  <mergeCells count="5">
    <mergeCell ref="A1:U1"/>
    <mergeCell ref="A2:U2"/>
    <mergeCell ref="F3:H3"/>
    <mergeCell ref="I3:J3"/>
    <mergeCell ref="K3:K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opLeftCell="A7" zoomScale="85" zoomScaleNormal="85" workbookViewId="0">
      <selection activeCell="T9" sqref="T9"/>
    </sheetView>
  </sheetViews>
  <sheetFormatPr defaultRowHeight="14.4"/>
  <cols>
    <col min="1" max="1" width="9.44140625" customWidth="1"/>
    <col min="2" max="2" width="21.5546875" customWidth="1"/>
    <col min="3" max="3" width="16.44140625" customWidth="1"/>
    <col min="4" max="4" width="19" customWidth="1"/>
    <col min="5" max="11" width="23.33203125" customWidth="1"/>
    <col min="12" max="15" width="20.88671875" customWidth="1"/>
    <col min="16" max="16" width="18.109375" customWidth="1"/>
    <col min="17" max="19" width="20.88671875" customWidth="1"/>
    <col min="20" max="20" width="32.109375" customWidth="1"/>
    <col min="21" max="21" width="20.88671875" customWidth="1"/>
  </cols>
  <sheetData>
    <row r="1" spans="1:21" ht="40.5" customHeight="1">
      <c r="A1" s="93" t="s">
        <v>30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</row>
    <row r="2" spans="1:21" ht="30.75" customHeight="1">
      <c r="A2" s="94" t="s">
        <v>50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</row>
    <row r="3" spans="1:21" ht="24.75" customHeight="1">
      <c r="A3" s="14" t="s">
        <v>17</v>
      </c>
      <c r="B3" s="14" t="s">
        <v>41</v>
      </c>
      <c r="C3" s="14" t="s">
        <v>31</v>
      </c>
      <c r="D3" s="14" t="s">
        <v>32</v>
      </c>
      <c r="E3" s="14" t="s">
        <v>43</v>
      </c>
      <c r="F3" s="95" t="s">
        <v>44</v>
      </c>
      <c r="G3" s="96"/>
      <c r="H3" s="97"/>
      <c r="I3" s="95" t="s">
        <v>51</v>
      </c>
      <c r="J3" s="97"/>
      <c r="K3" s="96" t="s">
        <v>54</v>
      </c>
      <c r="L3" s="14" t="s">
        <v>39</v>
      </c>
      <c r="M3" s="14" t="s">
        <v>18</v>
      </c>
      <c r="N3" s="14" t="s">
        <v>40</v>
      </c>
      <c r="O3" s="14" t="s">
        <v>19</v>
      </c>
      <c r="P3" s="14" t="s">
        <v>20</v>
      </c>
      <c r="Q3" s="14" t="s">
        <v>21</v>
      </c>
      <c r="R3" s="14" t="s">
        <v>22</v>
      </c>
      <c r="S3" s="14" t="s">
        <v>34</v>
      </c>
      <c r="T3" s="14" t="s">
        <v>23</v>
      </c>
      <c r="U3" s="14" t="s">
        <v>24</v>
      </c>
    </row>
    <row r="4" spans="1:21" ht="24.75" customHeight="1">
      <c r="A4" s="32"/>
      <c r="B4" s="32"/>
      <c r="C4" s="32"/>
      <c r="D4" s="32"/>
      <c r="E4" s="32"/>
      <c r="F4" s="14" t="s">
        <v>44</v>
      </c>
      <c r="G4" s="14" t="s">
        <v>48</v>
      </c>
      <c r="H4" s="14" t="s">
        <v>49</v>
      </c>
      <c r="I4" s="32" t="s">
        <v>52</v>
      </c>
      <c r="J4" s="32" t="s">
        <v>53</v>
      </c>
      <c r="K4" s="98"/>
      <c r="L4" s="32"/>
      <c r="M4" s="32"/>
      <c r="N4" s="32"/>
      <c r="O4" s="32"/>
      <c r="P4" s="32"/>
      <c r="Q4" s="32"/>
      <c r="R4" s="32"/>
      <c r="S4" s="32"/>
      <c r="T4" s="32"/>
      <c r="U4" s="32"/>
    </row>
    <row r="5" spans="1:21" ht="31.5" customHeight="1">
      <c r="A5" s="15">
        <v>1</v>
      </c>
      <c r="B5" s="15" t="s">
        <v>15</v>
      </c>
      <c r="C5" s="25">
        <v>46235</v>
      </c>
      <c r="D5" s="15" t="s">
        <v>42</v>
      </c>
      <c r="E5" s="15" t="s">
        <v>47</v>
      </c>
      <c r="F5" s="15">
        <v>5</v>
      </c>
      <c r="G5" s="15">
        <v>600</v>
      </c>
      <c r="H5" s="15">
        <f>F5*G5</f>
        <v>3000</v>
      </c>
      <c r="I5" s="15">
        <v>700</v>
      </c>
      <c r="J5" s="15">
        <f>F5*I5</f>
        <v>3500</v>
      </c>
      <c r="K5" s="15">
        <f>J5-H5</f>
        <v>500</v>
      </c>
      <c r="L5" s="15"/>
      <c r="M5" s="15"/>
      <c r="N5" s="15"/>
      <c r="O5" s="15"/>
      <c r="P5" s="26"/>
      <c r="Q5" s="15"/>
      <c r="R5" s="15"/>
      <c r="S5" s="27"/>
      <c r="T5" s="16"/>
      <c r="U5" s="15"/>
    </row>
    <row r="6" spans="1:21" ht="29.25" customHeight="1">
      <c r="A6" s="15">
        <v>2</v>
      </c>
      <c r="B6" s="15" t="s">
        <v>15</v>
      </c>
      <c r="C6" s="25">
        <v>46236</v>
      </c>
      <c r="D6" s="15" t="s">
        <v>42</v>
      </c>
      <c r="E6" s="15" t="s">
        <v>47</v>
      </c>
      <c r="F6" s="15">
        <v>8</v>
      </c>
      <c r="G6" s="15">
        <v>600</v>
      </c>
      <c r="H6" s="15">
        <f t="shared" ref="H6:H14" si="0">F6*G6</f>
        <v>4800</v>
      </c>
      <c r="I6" s="15">
        <v>700</v>
      </c>
      <c r="J6" s="15">
        <f t="shared" ref="J6:J14" si="1">F6*I6</f>
        <v>5600</v>
      </c>
      <c r="K6" s="15">
        <f t="shared" ref="K6:K14" si="2">J6-H6</f>
        <v>800</v>
      </c>
      <c r="L6" s="15"/>
      <c r="M6" s="15"/>
      <c r="N6" s="15"/>
      <c r="O6" s="15"/>
      <c r="P6" s="26"/>
      <c r="Q6" s="15"/>
      <c r="R6" s="15"/>
      <c r="S6" s="27"/>
      <c r="T6" s="16"/>
      <c r="U6" s="15"/>
    </row>
    <row r="7" spans="1:21" ht="29.25" customHeight="1">
      <c r="A7" s="15">
        <v>3</v>
      </c>
      <c r="B7" s="15" t="s">
        <v>15</v>
      </c>
      <c r="C7" s="25">
        <v>46237</v>
      </c>
      <c r="D7" s="15" t="s">
        <v>42</v>
      </c>
      <c r="E7" s="15" t="s">
        <v>47</v>
      </c>
      <c r="F7" s="15">
        <v>5</v>
      </c>
      <c r="G7" s="15">
        <v>600</v>
      </c>
      <c r="H7" s="15">
        <f t="shared" si="0"/>
        <v>3000</v>
      </c>
      <c r="I7" s="15">
        <v>700</v>
      </c>
      <c r="J7" s="15">
        <f t="shared" si="1"/>
        <v>3500</v>
      </c>
      <c r="K7" s="15">
        <f t="shared" si="2"/>
        <v>500</v>
      </c>
      <c r="L7" s="15"/>
      <c r="M7" s="15"/>
      <c r="N7" s="15"/>
      <c r="O7" s="15"/>
      <c r="P7" s="26"/>
      <c r="Q7" s="15"/>
      <c r="R7" s="15"/>
      <c r="S7" s="27"/>
      <c r="T7" s="16"/>
      <c r="U7" s="15"/>
    </row>
    <row r="8" spans="1:21" ht="29.25" customHeight="1">
      <c r="A8" s="15">
        <v>4</v>
      </c>
      <c r="B8" s="15" t="s">
        <v>15</v>
      </c>
      <c r="C8" s="25">
        <v>46238</v>
      </c>
      <c r="D8" s="15" t="s">
        <v>42</v>
      </c>
      <c r="E8" s="15" t="s">
        <v>47</v>
      </c>
      <c r="F8" s="15">
        <v>3</v>
      </c>
      <c r="G8" s="15">
        <v>600</v>
      </c>
      <c r="H8" s="15">
        <f t="shared" si="0"/>
        <v>1800</v>
      </c>
      <c r="I8" s="15">
        <v>700</v>
      </c>
      <c r="J8" s="15">
        <f t="shared" si="1"/>
        <v>2100</v>
      </c>
      <c r="K8" s="15">
        <f t="shared" si="2"/>
        <v>300</v>
      </c>
      <c r="L8" s="15"/>
      <c r="M8" s="15" t="s">
        <v>85</v>
      </c>
      <c r="N8" s="15"/>
      <c r="O8" s="15">
        <v>72800</v>
      </c>
      <c r="P8" s="26">
        <f t="shared" ref="P8" si="3">O8*5%</f>
        <v>3640</v>
      </c>
      <c r="Q8" s="15"/>
      <c r="R8" s="15">
        <v>4989219</v>
      </c>
      <c r="S8" s="27">
        <f t="shared" ref="S8" si="4">O8-P8-Q8</f>
        <v>69160</v>
      </c>
      <c r="T8" s="16" t="s">
        <v>112</v>
      </c>
      <c r="U8" s="15" t="s">
        <v>26</v>
      </c>
    </row>
    <row r="9" spans="1:21" ht="29.25" customHeight="1">
      <c r="A9" s="15">
        <v>5</v>
      </c>
      <c r="B9" s="15" t="s">
        <v>15</v>
      </c>
      <c r="C9" s="25">
        <v>46239</v>
      </c>
      <c r="D9" s="15" t="s">
        <v>42</v>
      </c>
      <c r="E9" s="15" t="s">
        <v>47</v>
      </c>
      <c r="F9" s="15">
        <v>17</v>
      </c>
      <c r="G9" s="15">
        <v>600</v>
      </c>
      <c r="H9" s="15">
        <f t="shared" si="0"/>
        <v>10200</v>
      </c>
      <c r="I9" s="15">
        <v>700</v>
      </c>
      <c r="J9" s="15">
        <f t="shared" si="1"/>
        <v>11900</v>
      </c>
      <c r="K9" s="15">
        <f t="shared" si="2"/>
        <v>1700</v>
      </c>
      <c r="L9" s="15"/>
      <c r="M9" s="15"/>
      <c r="N9" s="15"/>
      <c r="O9" s="15"/>
      <c r="P9" s="26"/>
      <c r="Q9" s="15"/>
      <c r="R9" s="15"/>
      <c r="S9" s="27"/>
      <c r="T9" s="16"/>
      <c r="U9" s="15"/>
    </row>
    <row r="10" spans="1:21" ht="29.25" customHeight="1">
      <c r="A10" s="15">
        <v>6</v>
      </c>
      <c r="B10" s="15" t="s">
        <v>15</v>
      </c>
      <c r="C10" s="25">
        <v>46240</v>
      </c>
      <c r="D10" s="15" t="s">
        <v>42</v>
      </c>
      <c r="E10" s="15" t="s">
        <v>47</v>
      </c>
      <c r="F10" s="15">
        <v>10</v>
      </c>
      <c r="G10" s="15">
        <v>600</v>
      </c>
      <c r="H10" s="15">
        <f t="shared" si="0"/>
        <v>6000</v>
      </c>
      <c r="I10" s="15">
        <v>700</v>
      </c>
      <c r="J10" s="15">
        <f t="shared" si="1"/>
        <v>7000</v>
      </c>
      <c r="K10" s="15">
        <f t="shared" si="2"/>
        <v>1000</v>
      </c>
      <c r="L10" s="15"/>
      <c r="M10" s="15"/>
      <c r="N10" s="15"/>
      <c r="O10" s="15"/>
      <c r="P10" s="26"/>
      <c r="Q10" s="15"/>
      <c r="R10" s="15"/>
      <c r="S10" s="27"/>
      <c r="T10" s="16"/>
      <c r="U10" s="15"/>
    </row>
    <row r="11" spans="1:21" ht="29.25" customHeight="1">
      <c r="A11" s="15">
        <v>7</v>
      </c>
      <c r="B11" s="15" t="s">
        <v>15</v>
      </c>
      <c r="C11" s="25">
        <v>46241</v>
      </c>
      <c r="D11" s="15" t="s">
        <v>42</v>
      </c>
      <c r="E11" s="15" t="s">
        <v>47</v>
      </c>
      <c r="F11" s="15">
        <v>13</v>
      </c>
      <c r="G11" s="15">
        <v>600</v>
      </c>
      <c r="H11" s="15">
        <f t="shared" si="0"/>
        <v>7800</v>
      </c>
      <c r="I11" s="15">
        <v>700</v>
      </c>
      <c r="J11" s="15">
        <f t="shared" si="1"/>
        <v>9100</v>
      </c>
      <c r="K11" s="15">
        <f t="shared" si="2"/>
        <v>1300</v>
      </c>
      <c r="L11" s="15"/>
      <c r="M11" s="15"/>
      <c r="N11" s="15"/>
      <c r="O11" s="15"/>
      <c r="P11" s="26"/>
      <c r="Q11" s="15"/>
      <c r="R11" s="15"/>
      <c r="S11" s="27"/>
      <c r="T11" s="16"/>
      <c r="U11" s="15"/>
    </row>
    <row r="12" spans="1:21" ht="29.25" customHeight="1">
      <c r="A12" s="15">
        <v>8</v>
      </c>
      <c r="B12" s="15" t="s">
        <v>15</v>
      </c>
      <c r="C12" s="25">
        <v>46242</v>
      </c>
      <c r="D12" s="15" t="s">
        <v>42</v>
      </c>
      <c r="E12" s="15" t="s">
        <v>47</v>
      </c>
      <c r="F12" s="15">
        <v>17</v>
      </c>
      <c r="G12" s="15">
        <v>600</v>
      </c>
      <c r="H12" s="15">
        <f t="shared" si="0"/>
        <v>10200</v>
      </c>
      <c r="I12" s="15">
        <v>700</v>
      </c>
      <c r="J12" s="15">
        <f t="shared" si="1"/>
        <v>11900</v>
      </c>
      <c r="K12" s="15">
        <f t="shared" si="2"/>
        <v>1700</v>
      </c>
      <c r="L12" s="15"/>
      <c r="M12" s="15"/>
      <c r="N12" s="15"/>
      <c r="O12" s="15"/>
      <c r="P12" s="26"/>
      <c r="Q12" s="15"/>
      <c r="R12" s="15"/>
      <c r="S12" s="27"/>
      <c r="T12" s="16"/>
      <c r="U12" s="15"/>
    </row>
    <row r="13" spans="1:21" ht="29.25" customHeight="1">
      <c r="A13" s="15">
        <v>9</v>
      </c>
      <c r="B13" s="15" t="s">
        <v>15</v>
      </c>
      <c r="C13" s="25">
        <v>46243</v>
      </c>
      <c r="D13" s="15" t="s">
        <v>42</v>
      </c>
      <c r="E13" s="15" t="s">
        <v>47</v>
      </c>
      <c r="F13" s="30">
        <v>19</v>
      </c>
      <c r="G13" s="15">
        <v>600</v>
      </c>
      <c r="H13" s="15">
        <f t="shared" si="0"/>
        <v>11400</v>
      </c>
      <c r="I13" s="15">
        <v>700</v>
      </c>
      <c r="J13" s="15">
        <f t="shared" si="1"/>
        <v>13300</v>
      </c>
      <c r="K13" s="15">
        <f t="shared" si="2"/>
        <v>1900</v>
      </c>
      <c r="L13" s="30"/>
      <c r="M13" s="15"/>
      <c r="N13" s="30"/>
      <c r="O13" s="30"/>
      <c r="P13" s="26"/>
      <c r="Q13" s="31"/>
      <c r="R13" s="15"/>
      <c r="S13" s="27"/>
      <c r="T13" s="16"/>
      <c r="U13" s="15"/>
    </row>
    <row r="14" spans="1:21" ht="29.25" customHeight="1">
      <c r="A14" s="15">
        <v>10</v>
      </c>
      <c r="B14" s="15" t="s">
        <v>15</v>
      </c>
      <c r="C14" s="25">
        <v>46244</v>
      </c>
      <c r="D14" s="15" t="s">
        <v>42</v>
      </c>
      <c r="E14" s="15" t="s">
        <v>47</v>
      </c>
      <c r="F14" s="30">
        <v>7</v>
      </c>
      <c r="G14" s="15">
        <v>600</v>
      </c>
      <c r="H14" s="15">
        <f t="shared" si="0"/>
        <v>4200</v>
      </c>
      <c r="I14" s="15">
        <v>700</v>
      </c>
      <c r="J14" s="15">
        <f t="shared" si="1"/>
        <v>4900</v>
      </c>
      <c r="K14" s="15">
        <f t="shared" si="2"/>
        <v>700</v>
      </c>
      <c r="L14" s="30"/>
      <c r="M14" s="15"/>
      <c r="N14" s="30"/>
      <c r="O14" s="30"/>
      <c r="P14" s="26"/>
      <c r="Q14" s="31"/>
      <c r="R14" s="15"/>
      <c r="S14" s="27"/>
      <c r="T14" s="16"/>
      <c r="U14" s="15"/>
    </row>
    <row r="15" spans="1:21" ht="29.25" customHeight="1">
      <c r="A15" s="15"/>
      <c r="B15" s="15"/>
      <c r="C15" s="25"/>
      <c r="D15" s="15"/>
      <c r="E15" s="15"/>
      <c r="F15" s="30"/>
      <c r="G15" s="30"/>
      <c r="H15" s="30"/>
      <c r="I15" s="30"/>
      <c r="J15" s="30"/>
      <c r="K15" s="30"/>
      <c r="L15" s="30"/>
      <c r="M15" s="15"/>
      <c r="N15" s="30"/>
      <c r="O15" s="30"/>
      <c r="P15" s="26"/>
      <c r="Q15" s="31"/>
      <c r="R15" s="15"/>
      <c r="S15" s="27"/>
      <c r="T15" s="16"/>
      <c r="U15" s="15"/>
    </row>
    <row r="16" spans="1:21" ht="29.25" customHeight="1">
      <c r="A16" s="15"/>
      <c r="B16" s="15"/>
      <c r="C16" s="25"/>
      <c r="D16" s="15"/>
      <c r="E16" s="15"/>
      <c r="F16" s="30"/>
      <c r="G16" s="30"/>
      <c r="H16" s="30">
        <f>SUM(H5:H15)</f>
        <v>62400</v>
      </c>
      <c r="I16" s="30"/>
      <c r="J16" s="30">
        <f>SUM(J5:J15)</f>
        <v>72800</v>
      </c>
      <c r="K16" s="30">
        <f>SUM(K5:K15)</f>
        <v>10400</v>
      </c>
      <c r="L16" s="30"/>
      <c r="M16" s="15"/>
      <c r="N16" s="30"/>
      <c r="O16" s="30"/>
      <c r="P16" s="26"/>
      <c r="Q16" s="31"/>
      <c r="R16" s="15"/>
      <c r="S16" s="27"/>
      <c r="T16" s="16"/>
      <c r="U16" s="15"/>
    </row>
    <row r="17" spans="1:21" ht="20.399999999999999">
      <c r="A17" s="17"/>
      <c r="B17" s="17"/>
      <c r="C17" s="17"/>
      <c r="D17" s="17"/>
      <c r="E17" s="17"/>
      <c r="F17" s="29"/>
      <c r="G17" s="29"/>
      <c r="H17" s="29"/>
      <c r="I17" s="29"/>
      <c r="J17" s="29"/>
      <c r="K17" s="29"/>
      <c r="L17" s="28"/>
      <c r="M17" s="18"/>
      <c r="N17" s="28"/>
      <c r="O17" s="22"/>
      <c r="P17" s="24"/>
      <c r="Q17" s="23"/>
      <c r="R17" s="19"/>
      <c r="S17" s="19"/>
      <c r="T17" s="17"/>
      <c r="U17" s="17"/>
    </row>
    <row r="18" spans="1:21" ht="1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20"/>
      <c r="Q18" s="20"/>
      <c r="R18" s="20"/>
      <c r="S18" s="20"/>
      <c r="T18" s="20"/>
      <c r="U18" s="20"/>
    </row>
  </sheetData>
  <mergeCells count="5">
    <mergeCell ref="A1:U1"/>
    <mergeCell ref="A2:U2"/>
    <mergeCell ref="F3:H3"/>
    <mergeCell ref="I3:J3"/>
    <mergeCell ref="K3:K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opLeftCell="A13" zoomScale="85" zoomScaleNormal="85" workbookViewId="0">
      <selection activeCell="Q30" sqref="Q30"/>
    </sheetView>
  </sheetViews>
  <sheetFormatPr defaultRowHeight="14.4"/>
  <cols>
    <col min="1" max="1" width="9.44140625" customWidth="1"/>
    <col min="2" max="2" width="21.5546875" customWidth="1"/>
    <col min="3" max="3" width="16.44140625" customWidth="1"/>
    <col min="4" max="4" width="19" customWidth="1"/>
    <col min="5" max="5" width="24.109375" customWidth="1"/>
    <col min="6" max="11" width="23.33203125" customWidth="1"/>
    <col min="12" max="15" width="20.88671875" customWidth="1"/>
    <col min="16" max="16" width="18.109375" customWidth="1"/>
    <col min="17" max="19" width="20.88671875" customWidth="1"/>
    <col min="20" max="20" width="32.109375" customWidth="1"/>
    <col min="21" max="21" width="20.88671875" customWidth="1"/>
  </cols>
  <sheetData>
    <row r="1" spans="1:21" ht="40.5" customHeight="1">
      <c r="A1" s="93" t="s">
        <v>30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</row>
    <row r="2" spans="1:21" ht="30.75" customHeight="1">
      <c r="A2" s="94" t="s">
        <v>63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</row>
    <row r="3" spans="1:21" ht="24.75" customHeight="1">
      <c r="A3" s="14" t="s">
        <v>17</v>
      </c>
      <c r="B3" s="14" t="s">
        <v>41</v>
      </c>
      <c r="C3" s="14" t="s">
        <v>31</v>
      </c>
      <c r="D3" s="14" t="s">
        <v>32</v>
      </c>
      <c r="E3" s="14" t="s">
        <v>43</v>
      </c>
      <c r="F3" s="95" t="s">
        <v>44</v>
      </c>
      <c r="G3" s="96"/>
      <c r="H3" s="97"/>
      <c r="I3" s="95" t="s">
        <v>51</v>
      </c>
      <c r="J3" s="97"/>
      <c r="K3" s="96" t="s">
        <v>54</v>
      </c>
      <c r="L3" s="14" t="s">
        <v>39</v>
      </c>
      <c r="M3" s="14" t="s">
        <v>18</v>
      </c>
      <c r="N3" s="14" t="s">
        <v>40</v>
      </c>
      <c r="O3" s="14" t="s">
        <v>19</v>
      </c>
      <c r="P3" s="14" t="s">
        <v>20</v>
      </c>
      <c r="Q3" s="14" t="s">
        <v>21</v>
      </c>
      <c r="R3" s="14" t="s">
        <v>22</v>
      </c>
      <c r="S3" s="14" t="s">
        <v>34</v>
      </c>
      <c r="T3" s="14" t="s">
        <v>23</v>
      </c>
      <c r="U3" s="14" t="s">
        <v>24</v>
      </c>
    </row>
    <row r="4" spans="1:21" ht="24.75" customHeight="1">
      <c r="A4" s="32"/>
      <c r="B4" s="32"/>
      <c r="C4" s="32"/>
      <c r="D4" s="32"/>
      <c r="E4" s="32"/>
      <c r="F4" s="14" t="s">
        <v>44</v>
      </c>
      <c r="G4" s="14" t="s">
        <v>48</v>
      </c>
      <c r="H4" s="14" t="s">
        <v>49</v>
      </c>
      <c r="I4" s="32" t="s">
        <v>52</v>
      </c>
      <c r="J4" s="32" t="s">
        <v>53</v>
      </c>
      <c r="K4" s="98"/>
      <c r="L4" s="32"/>
      <c r="M4" s="32"/>
      <c r="N4" s="32"/>
      <c r="O4" s="32"/>
      <c r="P4" s="32"/>
      <c r="Q4" s="32"/>
      <c r="R4" s="32"/>
      <c r="S4" s="32"/>
      <c r="T4" s="32"/>
      <c r="U4" s="32"/>
    </row>
    <row r="5" spans="1:21" ht="31.5" customHeight="1">
      <c r="A5" s="15">
        <v>1</v>
      </c>
      <c r="B5" s="101" t="s">
        <v>15</v>
      </c>
      <c r="C5" s="99">
        <v>46235</v>
      </c>
      <c r="D5" s="15" t="s">
        <v>59</v>
      </c>
      <c r="E5" s="15" t="s">
        <v>61</v>
      </c>
      <c r="F5" s="15">
        <v>5</v>
      </c>
      <c r="G5" s="15">
        <v>900</v>
      </c>
      <c r="H5" s="15">
        <f>F5*G5</f>
        <v>4500</v>
      </c>
      <c r="I5" s="15">
        <v>1250</v>
      </c>
      <c r="J5" s="15">
        <f>F5*I5</f>
        <v>6250</v>
      </c>
      <c r="K5" s="15">
        <f>J5-H5</f>
        <v>1750</v>
      </c>
      <c r="L5" s="15"/>
      <c r="M5" s="15"/>
      <c r="N5" s="15"/>
      <c r="O5" s="15"/>
      <c r="P5" s="26"/>
      <c r="Q5" s="15"/>
      <c r="R5" s="15"/>
      <c r="S5" s="27"/>
      <c r="T5" s="16"/>
      <c r="U5" s="15"/>
    </row>
    <row r="6" spans="1:21" ht="31.5" customHeight="1">
      <c r="A6" s="15"/>
      <c r="B6" s="102"/>
      <c r="C6" s="100"/>
      <c r="D6" s="15" t="s">
        <v>59</v>
      </c>
      <c r="E6" s="15" t="s">
        <v>60</v>
      </c>
      <c r="F6" s="15">
        <v>4</v>
      </c>
      <c r="G6" s="15">
        <v>900</v>
      </c>
      <c r="H6" s="15">
        <f>F6*G6</f>
        <v>3600</v>
      </c>
      <c r="I6" s="15">
        <v>1400</v>
      </c>
      <c r="J6" s="15">
        <f>F6*I6</f>
        <v>5600</v>
      </c>
      <c r="K6" s="15">
        <f>J6-H6</f>
        <v>2000</v>
      </c>
      <c r="L6" s="15"/>
      <c r="M6" s="15"/>
      <c r="N6" s="15"/>
      <c r="O6" s="15"/>
      <c r="P6" s="26"/>
      <c r="Q6" s="15"/>
      <c r="R6" s="15"/>
      <c r="S6" s="27"/>
      <c r="T6" s="16"/>
      <c r="U6" s="15"/>
    </row>
    <row r="7" spans="1:21" ht="29.25" customHeight="1">
      <c r="A7" s="15">
        <v>2</v>
      </c>
      <c r="B7" s="15" t="s">
        <v>15</v>
      </c>
      <c r="C7" s="25">
        <v>46236</v>
      </c>
      <c r="D7" s="15" t="s">
        <v>59</v>
      </c>
      <c r="E7" s="15" t="s">
        <v>60</v>
      </c>
      <c r="F7" s="15">
        <v>8</v>
      </c>
      <c r="G7" s="15">
        <v>900</v>
      </c>
      <c r="H7" s="15">
        <f t="shared" ref="H7:H8" si="0">F7*G7</f>
        <v>7200</v>
      </c>
      <c r="I7" s="15">
        <v>1400</v>
      </c>
      <c r="J7" s="15">
        <f t="shared" ref="J7:J8" si="1">F7*I7</f>
        <v>11200</v>
      </c>
      <c r="K7" s="15">
        <f t="shared" ref="K7:K8" si="2">J7-H7</f>
        <v>4000</v>
      </c>
      <c r="L7" s="15"/>
      <c r="M7" s="15"/>
      <c r="N7" s="15"/>
      <c r="O7" s="15"/>
      <c r="P7" s="26"/>
      <c r="Q7" s="15"/>
      <c r="R7" s="15"/>
      <c r="S7" s="27"/>
      <c r="T7" s="16"/>
      <c r="U7" s="15"/>
    </row>
    <row r="8" spans="1:21" ht="29.25" customHeight="1">
      <c r="A8" s="15">
        <v>3</v>
      </c>
      <c r="B8" s="15" t="s">
        <v>15</v>
      </c>
      <c r="C8" s="25">
        <v>46237</v>
      </c>
      <c r="D8" s="15" t="s">
        <v>59</v>
      </c>
      <c r="E8" s="15" t="s">
        <v>61</v>
      </c>
      <c r="F8" s="15">
        <v>5</v>
      </c>
      <c r="G8" s="15">
        <v>900</v>
      </c>
      <c r="H8" s="15">
        <f t="shared" si="0"/>
        <v>4500</v>
      </c>
      <c r="I8" s="15">
        <v>1250</v>
      </c>
      <c r="J8" s="15">
        <f t="shared" si="1"/>
        <v>6250</v>
      </c>
      <c r="K8" s="15">
        <f t="shared" si="2"/>
        <v>1750</v>
      </c>
      <c r="L8" s="15"/>
      <c r="M8" s="15"/>
      <c r="N8" s="15"/>
      <c r="O8" s="15"/>
      <c r="P8" s="26"/>
      <c r="Q8" s="15"/>
      <c r="R8" s="15"/>
      <c r="S8" s="27"/>
      <c r="T8" s="16"/>
      <c r="U8" s="15"/>
    </row>
    <row r="9" spans="1:21" ht="29.25" customHeight="1">
      <c r="A9" s="15">
        <v>4</v>
      </c>
      <c r="B9" s="15"/>
      <c r="C9" s="25"/>
      <c r="D9" s="15"/>
      <c r="E9" s="15"/>
      <c r="F9" s="15"/>
      <c r="G9" s="15"/>
      <c r="H9" s="15"/>
      <c r="I9" s="15"/>
      <c r="J9" s="15"/>
      <c r="K9" s="15"/>
      <c r="L9" s="15"/>
      <c r="M9" s="15" t="s">
        <v>62</v>
      </c>
      <c r="N9" s="15"/>
      <c r="O9" s="15">
        <v>29300</v>
      </c>
      <c r="P9" s="26">
        <f t="shared" ref="P9" si="3">O9*5%</f>
        <v>1465</v>
      </c>
      <c r="Q9" s="15"/>
      <c r="R9" s="15">
        <v>4989219</v>
      </c>
      <c r="S9" s="27">
        <f t="shared" ref="S9" si="4">O9-P9-Q9</f>
        <v>27835</v>
      </c>
      <c r="T9" s="16" t="s">
        <v>109</v>
      </c>
      <c r="U9" s="15" t="s">
        <v>26</v>
      </c>
    </row>
    <row r="10" spans="1:21" ht="29.25" customHeight="1">
      <c r="A10" s="15">
        <v>5</v>
      </c>
      <c r="B10" s="15"/>
      <c r="C10" s="2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26"/>
      <c r="Q10" s="15"/>
      <c r="R10" s="15"/>
      <c r="S10" s="27"/>
      <c r="T10" s="16"/>
      <c r="U10" s="15"/>
    </row>
    <row r="11" spans="1:21" ht="29.25" customHeight="1">
      <c r="A11" s="15">
        <v>6</v>
      </c>
      <c r="B11" s="15"/>
      <c r="C11" s="2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26"/>
      <c r="Q11" s="15"/>
      <c r="R11" s="15"/>
      <c r="S11" s="27"/>
      <c r="T11" s="16"/>
      <c r="U11" s="15"/>
    </row>
    <row r="12" spans="1:21" ht="29.25" customHeight="1">
      <c r="A12" s="15">
        <v>7</v>
      </c>
      <c r="B12" s="15"/>
      <c r="C12" s="2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26"/>
      <c r="Q12" s="15"/>
      <c r="R12" s="15"/>
      <c r="S12" s="27"/>
      <c r="T12" s="16"/>
      <c r="U12" s="15"/>
    </row>
    <row r="13" spans="1:21" ht="29.25" customHeight="1">
      <c r="A13" s="15">
        <v>8</v>
      </c>
      <c r="B13" s="15"/>
      <c r="C13" s="2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26"/>
      <c r="Q13" s="15"/>
      <c r="R13" s="15"/>
      <c r="S13" s="27"/>
      <c r="T13" s="16"/>
      <c r="U13" s="15"/>
    </row>
    <row r="14" spans="1:21" ht="29.25" customHeight="1">
      <c r="A14" s="15">
        <v>9</v>
      </c>
      <c r="B14" s="15"/>
      <c r="C14" s="25"/>
      <c r="D14" s="15"/>
      <c r="E14" s="15"/>
      <c r="F14" s="30"/>
      <c r="G14" s="15"/>
      <c r="H14" s="15"/>
      <c r="I14" s="15"/>
      <c r="J14" s="15"/>
      <c r="K14" s="15"/>
      <c r="L14" s="30"/>
      <c r="M14" s="15"/>
      <c r="N14" s="30"/>
      <c r="O14" s="30"/>
      <c r="P14" s="26"/>
      <c r="Q14" s="31"/>
      <c r="R14" s="15"/>
      <c r="S14" s="27"/>
      <c r="T14" s="16"/>
      <c r="U14" s="15"/>
    </row>
    <row r="15" spans="1:21" ht="29.25" customHeight="1">
      <c r="A15" s="15">
        <v>10</v>
      </c>
      <c r="B15" s="15"/>
      <c r="C15" s="25"/>
      <c r="D15" s="15"/>
      <c r="E15" s="15"/>
      <c r="F15" s="30"/>
      <c r="G15" s="15"/>
      <c r="H15" s="15"/>
      <c r="I15" s="15"/>
      <c r="J15" s="15"/>
      <c r="K15" s="15"/>
      <c r="L15" s="30"/>
      <c r="M15" s="15"/>
      <c r="N15" s="30"/>
      <c r="O15" s="30"/>
      <c r="P15" s="26"/>
      <c r="Q15" s="31"/>
      <c r="R15" s="15"/>
      <c r="S15" s="27"/>
      <c r="T15" s="16"/>
      <c r="U15" s="15"/>
    </row>
    <row r="16" spans="1:21" ht="29.25" customHeight="1">
      <c r="A16" s="15"/>
      <c r="B16" s="15"/>
      <c r="C16" s="25"/>
      <c r="D16" s="15"/>
      <c r="E16" s="15"/>
      <c r="F16" s="30"/>
      <c r="G16" s="30"/>
      <c r="H16" s="30"/>
      <c r="I16" s="30"/>
      <c r="J16" s="30"/>
      <c r="K16" s="30"/>
      <c r="L16" s="30"/>
      <c r="M16" s="15"/>
      <c r="N16" s="30"/>
      <c r="O16" s="30"/>
      <c r="P16" s="26"/>
      <c r="Q16" s="31"/>
      <c r="R16" s="15"/>
      <c r="S16" s="27"/>
      <c r="T16" s="16"/>
      <c r="U16" s="15"/>
    </row>
    <row r="17" spans="1:21" ht="29.25" customHeight="1">
      <c r="A17" s="15"/>
      <c r="B17" s="15"/>
      <c r="C17" s="25"/>
      <c r="D17" s="15"/>
      <c r="E17" s="15"/>
      <c r="F17" s="30"/>
      <c r="G17" s="30"/>
      <c r="H17" s="30">
        <f>SUM(H5:H16)</f>
        <v>19800</v>
      </c>
      <c r="I17" s="30"/>
      <c r="J17" s="30">
        <f>SUM(J5:J16)</f>
        <v>29300</v>
      </c>
      <c r="K17" s="30">
        <f>SUM(K5:K16)</f>
        <v>9500</v>
      </c>
      <c r="L17" s="30"/>
      <c r="M17" s="15"/>
      <c r="N17" s="30"/>
      <c r="O17" s="30"/>
      <c r="P17" s="26"/>
      <c r="Q17" s="31"/>
      <c r="R17" s="15"/>
      <c r="S17" s="27"/>
      <c r="T17" s="16"/>
      <c r="U17" s="15"/>
    </row>
    <row r="18" spans="1:21" ht="20.399999999999999">
      <c r="A18" s="17"/>
      <c r="B18" s="17"/>
      <c r="C18" s="17"/>
      <c r="D18" s="17"/>
      <c r="E18" s="17"/>
      <c r="F18" s="29"/>
      <c r="G18" s="29"/>
      <c r="H18" s="29"/>
      <c r="I18" s="29"/>
      <c r="J18" s="29"/>
      <c r="K18" s="29"/>
      <c r="L18" s="28"/>
      <c r="M18" s="18"/>
      <c r="N18" s="28"/>
      <c r="O18" s="22"/>
      <c r="P18" s="24"/>
      <c r="Q18" s="23"/>
      <c r="R18" s="19"/>
      <c r="S18" s="19"/>
      <c r="T18" s="17"/>
      <c r="U18" s="17"/>
    </row>
    <row r="19" spans="1:21" ht="1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/>
      <c r="P19" s="20"/>
      <c r="Q19" s="20"/>
      <c r="R19" s="20"/>
      <c r="S19" s="20"/>
      <c r="T19" s="20"/>
      <c r="U19" s="20"/>
    </row>
  </sheetData>
  <mergeCells count="7">
    <mergeCell ref="C5:C6"/>
    <mergeCell ref="B5:B6"/>
    <mergeCell ref="A1:U1"/>
    <mergeCell ref="A2:U2"/>
    <mergeCell ref="F3:H3"/>
    <mergeCell ref="I3:J3"/>
    <mergeCell ref="K3:K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8"/>
  <sheetViews>
    <sheetView topLeftCell="G1" zoomScaleNormal="100" workbookViewId="0">
      <selection activeCell="K18" sqref="K18"/>
    </sheetView>
  </sheetViews>
  <sheetFormatPr defaultRowHeight="14.4"/>
  <cols>
    <col min="1" max="1" width="9.44140625" customWidth="1"/>
    <col min="2" max="2" width="21.5546875" customWidth="1"/>
    <col min="3" max="3" width="16.44140625" customWidth="1"/>
    <col min="4" max="4" width="19" customWidth="1"/>
    <col min="5" max="14" width="23.33203125" customWidth="1"/>
    <col min="15" max="18" width="20.88671875" customWidth="1"/>
    <col min="19" max="19" width="18.109375" customWidth="1"/>
    <col min="20" max="22" width="20.88671875" customWidth="1"/>
    <col min="23" max="23" width="32.109375" customWidth="1"/>
    <col min="24" max="24" width="20.88671875" customWidth="1"/>
  </cols>
  <sheetData>
    <row r="1" spans="1:24" ht="40.5" customHeight="1">
      <c r="A1" s="93" t="s">
        <v>30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</row>
    <row r="2" spans="1:24" ht="30.75" customHeight="1">
      <c r="A2" s="94" t="s">
        <v>50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</row>
    <row r="3" spans="1:24" ht="24.75" customHeight="1">
      <c r="A3" s="14" t="s">
        <v>17</v>
      </c>
      <c r="B3" s="14" t="s">
        <v>41</v>
      </c>
      <c r="C3" s="14" t="s">
        <v>31</v>
      </c>
      <c r="D3" s="14" t="s">
        <v>32</v>
      </c>
      <c r="E3" s="14" t="s">
        <v>43</v>
      </c>
      <c r="F3" s="49" t="s">
        <v>66</v>
      </c>
      <c r="G3" s="49" t="s">
        <v>68</v>
      </c>
      <c r="H3" s="95" t="s">
        <v>44</v>
      </c>
      <c r="I3" s="96"/>
      <c r="J3" s="97"/>
      <c r="K3" s="95" t="s">
        <v>51</v>
      </c>
      <c r="L3" s="96"/>
      <c r="M3" s="96"/>
      <c r="N3" s="96" t="s">
        <v>54</v>
      </c>
      <c r="O3" s="14" t="s">
        <v>39</v>
      </c>
      <c r="P3" s="14" t="s">
        <v>18</v>
      </c>
      <c r="Q3" s="14" t="s">
        <v>40</v>
      </c>
      <c r="R3" s="14" t="s">
        <v>19</v>
      </c>
      <c r="S3" s="14" t="s">
        <v>20</v>
      </c>
      <c r="T3" s="14" t="s">
        <v>21</v>
      </c>
      <c r="U3" s="14" t="s">
        <v>22</v>
      </c>
      <c r="V3" s="14" t="s">
        <v>34</v>
      </c>
      <c r="W3" s="14" t="s">
        <v>23</v>
      </c>
      <c r="X3" s="14" t="s">
        <v>24</v>
      </c>
    </row>
    <row r="4" spans="1:24" ht="24.75" customHeight="1">
      <c r="A4" s="32"/>
      <c r="B4" s="32"/>
      <c r="C4" s="32"/>
      <c r="D4" s="32"/>
      <c r="E4" s="32"/>
      <c r="F4" s="32"/>
      <c r="G4" s="32"/>
      <c r="H4" s="14" t="s">
        <v>44</v>
      </c>
      <c r="I4" s="14" t="s">
        <v>48</v>
      </c>
      <c r="J4" s="14" t="s">
        <v>49</v>
      </c>
      <c r="K4" s="32" t="s">
        <v>52</v>
      </c>
      <c r="L4" s="32" t="s">
        <v>53</v>
      </c>
      <c r="M4" s="32" t="s">
        <v>65</v>
      </c>
      <c r="N4" s="98"/>
      <c r="O4" s="32"/>
      <c r="P4" s="32"/>
      <c r="Q4" s="32"/>
      <c r="R4" s="32"/>
      <c r="S4" s="32"/>
      <c r="T4" s="32"/>
      <c r="U4" s="32"/>
      <c r="V4" s="32"/>
      <c r="W4" s="32"/>
      <c r="X4" s="32"/>
    </row>
    <row r="5" spans="1:24" ht="31.5" customHeight="1">
      <c r="A5" s="15">
        <v>1</v>
      </c>
      <c r="B5" s="15" t="s">
        <v>15</v>
      </c>
      <c r="C5" s="45">
        <v>46023</v>
      </c>
      <c r="D5" s="15" t="s">
        <v>42</v>
      </c>
      <c r="E5" s="15" t="s">
        <v>64</v>
      </c>
      <c r="F5" s="15" t="s">
        <v>67</v>
      </c>
      <c r="G5" s="15">
        <v>6856</v>
      </c>
      <c r="H5" s="46">
        <v>5574</v>
      </c>
      <c r="I5" s="15">
        <v>8</v>
      </c>
      <c r="J5" s="15">
        <f>H5*I5</f>
        <v>44592</v>
      </c>
      <c r="K5" s="47">
        <v>0.11</v>
      </c>
      <c r="L5" s="48">
        <f>H5*K5</f>
        <v>613.14</v>
      </c>
      <c r="M5" s="51">
        <f>L5*116</f>
        <v>71124.240000000005</v>
      </c>
      <c r="N5" s="51">
        <f>M5-J5</f>
        <v>26532.240000000005</v>
      </c>
      <c r="O5" s="15"/>
      <c r="P5" s="15"/>
      <c r="Q5" s="15"/>
      <c r="R5" s="15"/>
      <c r="S5" s="26"/>
      <c r="T5" s="15"/>
      <c r="U5" s="15"/>
      <c r="V5" s="27"/>
      <c r="W5" s="16"/>
      <c r="X5" s="15"/>
    </row>
    <row r="6" spans="1:24" ht="29.25" customHeight="1">
      <c r="A6" s="15">
        <v>2</v>
      </c>
      <c r="B6" s="15" t="s">
        <v>15</v>
      </c>
      <c r="C6" s="45">
        <v>46024</v>
      </c>
      <c r="D6" s="15" t="s">
        <v>42</v>
      </c>
      <c r="E6" s="15" t="s">
        <v>64</v>
      </c>
      <c r="F6" s="15" t="s">
        <v>67</v>
      </c>
      <c r="G6" s="15">
        <v>5556</v>
      </c>
      <c r="H6" s="46">
        <v>6666</v>
      </c>
      <c r="I6" s="15">
        <v>8</v>
      </c>
      <c r="J6" s="15">
        <f t="shared" ref="J6:J12" si="0">H6*I6</f>
        <v>53328</v>
      </c>
      <c r="K6" s="47">
        <v>0.11</v>
      </c>
      <c r="L6" s="48">
        <f t="shared" ref="L6:L12" si="1">H6*K6</f>
        <v>733.26</v>
      </c>
      <c r="M6" s="51">
        <f t="shared" ref="M6:M12" si="2">L6*116</f>
        <v>85058.16</v>
      </c>
      <c r="N6" s="51">
        <f t="shared" ref="N6:N12" si="3">M6-J6</f>
        <v>31730.160000000003</v>
      </c>
      <c r="O6" s="15"/>
      <c r="P6" s="15"/>
      <c r="Q6" s="15"/>
      <c r="R6" s="15"/>
      <c r="S6" s="26"/>
      <c r="T6" s="15"/>
      <c r="U6" s="15"/>
      <c r="V6" s="27"/>
      <c r="W6" s="16"/>
      <c r="X6" s="15"/>
    </row>
    <row r="7" spans="1:24" ht="29.25" customHeight="1">
      <c r="A7" s="15">
        <v>3</v>
      </c>
      <c r="B7" s="15" t="s">
        <v>15</v>
      </c>
      <c r="C7" s="45">
        <v>46025</v>
      </c>
      <c r="D7" s="15" t="s">
        <v>42</v>
      </c>
      <c r="E7" s="15" t="s">
        <v>64</v>
      </c>
      <c r="F7" s="15" t="s">
        <v>67</v>
      </c>
      <c r="G7" s="15">
        <v>8856</v>
      </c>
      <c r="H7" s="46">
        <v>4916</v>
      </c>
      <c r="I7" s="15">
        <v>8</v>
      </c>
      <c r="J7" s="15">
        <f t="shared" si="0"/>
        <v>39328</v>
      </c>
      <c r="K7" s="47">
        <v>0.11</v>
      </c>
      <c r="L7" s="48">
        <f>H7*K7</f>
        <v>540.76</v>
      </c>
      <c r="M7" s="51">
        <f t="shared" si="2"/>
        <v>62728.159999999996</v>
      </c>
      <c r="N7" s="51">
        <f t="shared" si="3"/>
        <v>23400.159999999996</v>
      </c>
      <c r="O7" s="15"/>
      <c r="P7" s="15"/>
      <c r="Q7" s="15"/>
      <c r="R7" s="15"/>
      <c r="S7" s="26"/>
      <c r="T7" s="15"/>
      <c r="U7" s="15"/>
      <c r="V7" s="27"/>
      <c r="W7" s="16"/>
      <c r="X7" s="15"/>
    </row>
    <row r="8" spans="1:24" ht="29.25" customHeight="1">
      <c r="A8" s="15">
        <v>4</v>
      </c>
      <c r="B8" s="15" t="s">
        <v>15</v>
      </c>
      <c r="C8" s="45">
        <v>46026</v>
      </c>
      <c r="D8" s="15" t="s">
        <v>42</v>
      </c>
      <c r="E8" s="15" t="s">
        <v>64</v>
      </c>
      <c r="F8" s="15" t="s">
        <v>67</v>
      </c>
      <c r="G8" s="15">
        <v>7756</v>
      </c>
      <c r="H8" s="46">
        <v>3889</v>
      </c>
      <c r="I8" s="15">
        <v>8</v>
      </c>
      <c r="J8" s="15">
        <f t="shared" si="0"/>
        <v>31112</v>
      </c>
      <c r="K8" s="47">
        <v>0.11</v>
      </c>
      <c r="L8" s="48">
        <f t="shared" si="1"/>
        <v>427.79</v>
      </c>
      <c r="M8" s="51">
        <f t="shared" si="2"/>
        <v>49623.64</v>
      </c>
      <c r="N8" s="51">
        <f t="shared" si="3"/>
        <v>18511.64</v>
      </c>
      <c r="O8" s="15"/>
      <c r="P8" s="15" t="s">
        <v>35</v>
      </c>
      <c r="Q8" s="15"/>
      <c r="R8" s="53">
        <v>4008.07</v>
      </c>
      <c r="S8" s="53">
        <f>R8*10%</f>
        <v>400.80700000000002</v>
      </c>
      <c r="T8" s="15"/>
      <c r="U8" s="15">
        <v>4989219</v>
      </c>
      <c r="V8" s="52">
        <f t="shared" ref="V8" si="4">R8-S8-T8</f>
        <v>3607.2629999999999</v>
      </c>
      <c r="W8" s="16" t="s">
        <v>69</v>
      </c>
      <c r="X8" s="15" t="s">
        <v>26</v>
      </c>
    </row>
    <row r="9" spans="1:24" ht="29.25" customHeight="1">
      <c r="A9" s="15">
        <v>5</v>
      </c>
      <c r="B9" s="15" t="s">
        <v>15</v>
      </c>
      <c r="C9" s="45">
        <v>46027</v>
      </c>
      <c r="D9" s="15" t="s">
        <v>42</v>
      </c>
      <c r="E9" s="15" t="s">
        <v>64</v>
      </c>
      <c r="F9" s="15" t="s">
        <v>67</v>
      </c>
      <c r="G9" s="15">
        <v>4456</v>
      </c>
      <c r="H9" s="46">
        <v>4546</v>
      </c>
      <c r="I9" s="15">
        <v>8</v>
      </c>
      <c r="J9" s="15">
        <f t="shared" si="0"/>
        <v>36368</v>
      </c>
      <c r="K9" s="47">
        <v>0.11</v>
      </c>
      <c r="L9" s="48">
        <f t="shared" si="1"/>
        <v>500.06</v>
      </c>
      <c r="M9" s="51">
        <f t="shared" si="2"/>
        <v>58006.96</v>
      </c>
      <c r="N9" s="51">
        <f t="shared" si="3"/>
        <v>21638.959999999999</v>
      </c>
      <c r="O9" s="15"/>
      <c r="P9" s="15"/>
      <c r="Q9" s="15"/>
      <c r="R9" s="15"/>
      <c r="S9" s="26"/>
      <c r="T9" s="15"/>
      <c r="U9" s="15"/>
      <c r="V9" s="27"/>
      <c r="W9" s="16"/>
      <c r="X9" s="15"/>
    </row>
    <row r="10" spans="1:24" ht="29.25" customHeight="1">
      <c r="A10" s="15">
        <v>6</v>
      </c>
      <c r="B10" s="15" t="s">
        <v>15</v>
      </c>
      <c r="C10" s="45">
        <v>46028</v>
      </c>
      <c r="D10" s="15" t="s">
        <v>42</v>
      </c>
      <c r="E10" s="15" t="s">
        <v>64</v>
      </c>
      <c r="F10" s="15" t="s">
        <v>67</v>
      </c>
      <c r="G10" s="15">
        <v>3356</v>
      </c>
      <c r="H10" s="46">
        <v>3483</v>
      </c>
      <c r="I10" s="15">
        <v>8</v>
      </c>
      <c r="J10" s="15">
        <f t="shared" si="0"/>
        <v>27864</v>
      </c>
      <c r="K10" s="47">
        <v>0.11</v>
      </c>
      <c r="L10" s="48">
        <f t="shared" si="1"/>
        <v>383.13</v>
      </c>
      <c r="M10" s="51">
        <f t="shared" si="2"/>
        <v>44443.08</v>
      </c>
      <c r="N10" s="51">
        <f t="shared" si="3"/>
        <v>16579.080000000002</v>
      </c>
      <c r="O10" s="15"/>
      <c r="P10" s="15"/>
      <c r="Q10" s="15"/>
      <c r="R10" s="15"/>
      <c r="S10" s="26"/>
      <c r="T10" s="15"/>
      <c r="U10" s="15"/>
      <c r="V10" s="27"/>
      <c r="W10" s="16"/>
      <c r="X10" s="15"/>
    </row>
    <row r="11" spans="1:24" ht="29.25" customHeight="1">
      <c r="A11" s="15">
        <v>7</v>
      </c>
      <c r="B11" s="15" t="s">
        <v>15</v>
      </c>
      <c r="C11" s="45">
        <v>46029</v>
      </c>
      <c r="D11" s="15" t="s">
        <v>42</v>
      </c>
      <c r="E11" s="15" t="s">
        <v>64</v>
      </c>
      <c r="F11" s="15" t="s">
        <v>67</v>
      </c>
      <c r="G11" s="15">
        <v>2256</v>
      </c>
      <c r="H11" s="46">
        <v>3345</v>
      </c>
      <c r="I11" s="15">
        <v>8</v>
      </c>
      <c r="J11" s="15">
        <f t="shared" si="0"/>
        <v>26760</v>
      </c>
      <c r="K11" s="47">
        <v>0.11</v>
      </c>
      <c r="L11" s="48">
        <f t="shared" si="1"/>
        <v>367.95</v>
      </c>
      <c r="M11" s="51">
        <f t="shared" si="2"/>
        <v>42682.2</v>
      </c>
      <c r="N11" s="51">
        <f t="shared" si="3"/>
        <v>15922.199999999997</v>
      </c>
      <c r="O11" s="15"/>
      <c r="P11" s="15"/>
      <c r="Q11" s="15"/>
      <c r="R11" s="15"/>
      <c r="S11" s="26"/>
      <c r="T11" s="15"/>
      <c r="U11" s="15"/>
      <c r="V11" s="27"/>
      <c r="W11" s="16"/>
      <c r="X11" s="15"/>
    </row>
    <row r="12" spans="1:24" ht="29.25" customHeight="1">
      <c r="A12" s="15">
        <v>8</v>
      </c>
      <c r="B12" s="15" t="s">
        <v>15</v>
      </c>
      <c r="C12" s="45">
        <v>46030</v>
      </c>
      <c r="D12" s="15" t="s">
        <v>42</v>
      </c>
      <c r="E12" s="15" t="s">
        <v>64</v>
      </c>
      <c r="F12" s="15" t="s">
        <v>67</v>
      </c>
      <c r="G12" s="15">
        <v>1156</v>
      </c>
      <c r="H12" s="46">
        <v>4018</v>
      </c>
      <c r="I12" s="15">
        <v>8</v>
      </c>
      <c r="J12" s="15">
        <f t="shared" si="0"/>
        <v>32144</v>
      </c>
      <c r="K12" s="47">
        <v>0.11</v>
      </c>
      <c r="L12" s="48">
        <f t="shared" si="1"/>
        <v>441.98</v>
      </c>
      <c r="M12" s="51">
        <f t="shared" si="2"/>
        <v>51269.68</v>
      </c>
      <c r="N12" s="51">
        <f t="shared" si="3"/>
        <v>19125.68</v>
      </c>
      <c r="O12" s="15"/>
      <c r="P12" s="15"/>
      <c r="Q12" s="15"/>
      <c r="R12" s="15"/>
      <c r="S12" s="26"/>
      <c r="T12" s="15"/>
      <c r="U12" s="15"/>
      <c r="V12" s="27"/>
      <c r="W12" s="16"/>
      <c r="X12" s="15"/>
    </row>
    <row r="13" spans="1:24" ht="29.25" customHeight="1">
      <c r="A13" s="15"/>
      <c r="B13" s="15"/>
      <c r="C13" s="25"/>
      <c r="D13" s="15"/>
      <c r="E13" s="15"/>
      <c r="F13" s="15"/>
      <c r="G13" s="30"/>
      <c r="H13" s="30"/>
      <c r="I13" s="15"/>
      <c r="J13" s="15"/>
      <c r="K13" s="47"/>
      <c r="L13" s="48"/>
      <c r="M13" s="51"/>
      <c r="N13" s="51"/>
      <c r="O13" s="30"/>
      <c r="P13" s="15"/>
      <c r="Q13" s="30"/>
      <c r="R13" s="30"/>
      <c r="S13" s="26"/>
      <c r="T13" s="31"/>
      <c r="U13" s="15"/>
      <c r="V13" s="27"/>
      <c r="W13" s="16"/>
      <c r="X13" s="15"/>
    </row>
    <row r="14" spans="1:24" ht="29.25" customHeight="1">
      <c r="A14" s="15"/>
      <c r="B14" s="15"/>
      <c r="C14" s="25"/>
      <c r="D14" s="15"/>
      <c r="E14" s="15"/>
      <c r="F14" s="15"/>
      <c r="G14" s="30"/>
      <c r="H14" s="30"/>
      <c r="I14" s="15"/>
      <c r="J14" s="15"/>
      <c r="K14" s="47"/>
      <c r="L14" s="48"/>
      <c r="M14" s="51"/>
      <c r="N14" s="51"/>
      <c r="O14" s="30"/>
      <c r="P14" s="15"/>
      <c r="Q14" s="30"/>
      <c r="R14" s="30"/>
      <c r="S14" s="26"/>
      <c r="T14" s="31"/>
      <c r="U14" s="15"/>
      <c r="V14" s="27"/>
      <c r="W14" s="16"/>
      <c r="X14" s="15"/>
    </row>
    <row r="15" spans="1:24" ht="29.25" customHeight="1">
      <c r="A15" s="15"/>
      <c r="B15" s="15"/>
      <c r="C15" s="25"/>
      <c r="D15" s="15"/>
      <c r="E15" s="15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15"/>
      <c r="Q15" s="30"/>
      <c r="R15" s="30"/>
      <c r="S15" s="26"/>
      <c r="T15" s="31"/>
      <c r="U15" s="15"/>
      <c r="V15" s="27"/>
      <c r="W15" s="16"/>
      <c r="X15" s="15"/>
    </row>
    <row r="16" spans="1:24" ht="29.25" customHeight="1">
      <c r="A16" s="15"/>
      <c r="B16" s="15"/>
      <c r="C16" s="25"/>
      <c r="D16" s="15"/>
      <c r="E16" s="15"/>
      <c r="F16" s="30"/>
      <c r="G16" s="30"/>
      <c r="H16" s="30"/>
      <c r="I16" s="30"/>
      <c r="J16" s="30">
        <f>SUM(J5:J15)</f>
        <v>291496</v>
      </c>
      <c r="K16" s="30"/>
      <c r="L16" s="54">
        <f>SUM(L5:L15)</f>
        <v>4008.07</v>
      </c>
      <c r="M16" s="30"/>
      <c r="N16" s="30">
        <f>SUM(N5:N15)</f>
        <v>173440.12</v>
      </c>
      <c r="O16" s="30"/>
      <c r="P16" s="15"/>
      <c r="Q16" s="30"/>
      <c r="R16" s="30"/>
      <c r="S16" s="26"/>
      <c r="T16" s="31"/>
      <c r="U16" s="15"/>
      <c r="V16" s="27"/>
      <c r="W16" s="16"/>
      <c r="X16" s="15"/>
    </row>
    <row r="17" spans="1:24" ht="20.399999999999999">
      <c r="A17" s="17"/>
      <c r="B17" s="17"/>
      <c r="C17" s="17"/>
      <c r="D17" s="17"/>
      <c r="E17" s="17"/>
      <c r="F17" s="29"/>
      <c r="G17" s="29"/>
      <c r="H17" s="29"/>
      <c r="I17" s="29"/>
      <c r="J17" s="29"/>
      <c r="K17" s="29"/>
      <c r="L17" s="29"/>
      <c r="M17" s="29"/>
      <c r="N17" s="29"/>
      <c r="O17" s="28"/>
      <c r="P17" s="18"/>
      <c r="Q17" s="28"/>
      <c r="R17" s="22"/>
      <c r="S17" s="24"/>
      <c r="T17" s="23"/>
      <c r="U17" s="19"/>
      <c r="V17" s="19"/>
      <c r="W17" s="17"/>
      <c r="X17" s="17"/>
    </row>
    <row r="18" spans="1:24" ht="1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1"/>
      <c r="S18" s="20"/>
      <c r="T18" s="20"/>
      <c r="U18" s="20"/>
      <c r="V18" s="20"/>
      <c r="W18" s="20"/>
      <c r="X18" s="20"/>
    </row>
  </sheetData>
  <mergeCells count="5">
    <mergeCell ref="A1:X1"/>
    <mergeCell ref="A2:X2"/>
    <mergeCell ref="H3:J3"/>
    <mergeCell ref="N3:N4"/>
    <mergeCell ref="K3:M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opLeftCell="E1" workbookViewId="0">
      <selection activeCell="P9" sqref="P9"/>
    </sheetView>
  </sheetViews>
  <sheetFormatPr defaultRowHeight="14.4"/>
  <cols>
    <col min="1" max="1" width="9.44140625" customWidth="1"/>
    <col min="2" max="2" width="21.5546875" customWidth="1"/>
    <col min="3" max="3" width="16.44140625" customWidth="1"/>
    <col min="4" max="4" width="19" customWidth="1"/>
    <col min="5" max="11" width="23.33203125" customWidth="1"/>
    <col min="12" max="15" width="20.88671875" customWidth="1"/>
    <col min="16" max="16" width="18.109375" customWidth="1"/>
    <col min="17" max="19" width="20.88671875" customWidth="1"/>
    <col min="20" max="20" width="32.109375" customWidth="1"/>
    <col min="21" max="21" width="20.88671875" customWidth="1"/>
  </cols>
  <sheetData>
    <row r="1" spans="1:21" ht="40.5" customHeight="1">
      <c r="A1" s="93" t="s">
        <v>30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</row>
    <row r="2" spans="1:21" ht="30.75" customHeight="1">
      <c r="A2" s="94" t="s">
        <v>72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</row>
    <row r="3" spans="1:21" ht="24.75" customHeight="1">
      <c r="A3" s="14" t="s">
        <v>17</v>
      </c>
      <c r="B3" s="14" t="s">
        <v>41</v>
      </c>
      <c r="C3" s="14" t="s">
        <v>31</v>
      </c>
      <c r="D3" s="14" t="s">
        <v>32</v>
      </c>
      <c r="E3" s="14" t="s">
        <v>43</v>
      </c>
      <c r="F3" s="95" t="s">
        <v>44</v>
      </c>
      <c r="G3" s="96"/>
      <c r="H3" s="97"/>
      <c r="I3" s="95" t="s">
        <v>51</v>
      </c>
      <c r="J3" s="97"/>
      <c r="K3" s="96" t="s">
        <v>54</v>
      </c>
      <c r="L3" s="14" t="s">
        <v>39</v>
      </c>
      <c r="M3" s="14" t="s">
        <v>18</v>
      </c>
      <c r="N3" s="14" t="s">
        <v>40</v>
      </c>
      <c r="O3" s="14" t="s">
        <v>19</v>
      </c>
      <c r="P3" s="14" t="s">
        <v>20</v>
      </c>
      <c r="Q3" s="14" t="s">
        <v>21</v>
      </c>
      <c r="R3" s="14" t="s">
        <v>22</v>
      </c>
      <c r="S3" s="14" t="s">
        <v>34</v>
      </c>
      <c r="T3" s="14" t="s">
        <v>23</v>
      </c>
      <c r="U3" s="14" t="s">
        <v>24</v>
      </c>
    </row>
    <row r="4" spans="1:21" ht="24.75" customHeight="1">
      <c r="A4" s="32"/>
      <c r="B4" s="32"/>
      <c r="C4" s="32"/>
      <c r="D4" s="32"/>
      <c r="E4" s="32"/>
      <c r="F4" s="14" t="s">
        <v>44</v>
      </c>
      <c r="G4" s="14" t="s">
        <v>48</v>
      </c>
      <c r="H4" s="14" t="s">
        <v>49</v>
      </c>
      <c r="I4" s="32" t="s">
        <v>52</v>
      </c>
      <c r="J4" s="32" t="s">
        <v>53</v>
      </c>
      <c r="K4" s="98"/>
      <c r="L4" s="32"/>
      <c r="M4" s="32"/>
      <c r="N4" s="32"/>
      <c r="O4" s="32"/>
      <c r="P4" s="32"/>
      <c r="Q4" s="32"/>
      <c r="R4" s="32"/>
      <c r="S4" s="32"/>
      <c r="T4" s="32"/>
      <c r="U4" s="32"/>
    </row>
    <row r="5" spans="1:21" ht="31.5" customHeight="1">
      <c r="A5" s="15">
        <v>1</v>
      </c>
      <c r="B5" s="15" t="s">
        <v>15</v>
      </c>
      <c r="C5" s="25">
        <v>46235</v>
      </c>
      <c r="D5" s="15" t="s">
        <v>42</v>
      </c>
      <c r="E5" s="15" t="s">
        <v>73</v>
      </c>
      <c r="F5" s="15">
        <v>5</v>
      </c>
      <c r="G5" s="15">
        <v>3000</v>
      </c>
      <c r="H5" s="15">
        <f>F5*G5</f>
        <v>15000</v>
      </c>
      <c r="I5" s="15">
        <v>4000</v>
      </c>
      <c r="J5" s="15">
        <f>F5*I5</f>
        <v>20000</v>
      </c>
      <c r="K5" s="15">
        <f>J5-H5</f>
        <v>5000</v>
      </c>
      <c r="L5" s="15"/>
      <c r="M5" s="15"/>
      <c r="N5" s="15"/>
      <c r="O5" s="15"/>
      <c r="P5" s="26"/>
      <c r="Q5" s="15"/>
      <c r="R5" s="15"/>
      <c r="S5" s="27"/>
      <c r="T5" s="16"/>
      <c r="U5" s="15"/>
    </row>
    <row r="6" spans="1:21" ht="29.25" customHeight="1">
      <c r="A6" s="15">
        <v>2</v>
      </c>
      <c r="B6" s="15" t="s">
        <v>15</v>
      </c>
      <c r="C6" s="25">
        <v>46236</v>
      </c>
      <c r="D6" s="15" t="s">
        <v>42</v>
      </c>
      <c r="E6" s="15" t="s">
        <v>74</v>
      </c>
      <c r="F6" s="15">
        <v>1</v>
      </c>
      <c r="G6" s="15">
        <v>3600</v>
      </c>
      <c r="H6" s="15">
        <f t="shared" ref="H6:H14" si="0">F6*G6</f>
        <v>3600</v>
      </c>
      <c r="I6" s="15">
        <v>4000</v>
      </c>
      <c r="J6" s="15">
        <f t="shared" ref="J6:J14" si="1">F6*I6</f>
        <v>4000</v>
      </c>
      <c r="K6" s="15">
        <f t="shared" ref="K6:K14" si="2">J6-H6</f>
        <v>400</v>
      </c>
      <c r="L6" s="15"/>
      <c r="M6" s="15"/>
      <c r="N6" s="15"/>
      <c r="O6" s="15"/>
      <c r="P6" s="26"/>
      <c r="Q6" s="15"/>
      <c r="R6" s="15"/>
      <c r="S6" s="27"/>
      <c r="T6" s="16"/>
      <c r="U6" s="15"/>
    </row>
    <row r="7" spans="1:21" ht="29.25" customHeight="1">
      <c r="A7" s="15">
        <v>3</v>
      </c>
      <c r="B7" s="15" t="s">
        <v>15</v>
      </c>
      <c r="C7" s="25">
        <v>46237</v>
      </c>
      <c r="D7" s="15" t="s">
        <v>42</v>
      </c>
      <c r="E7" s="15" t="s">
        <v>75</v>
      </c>
      <c r="F7" s="15">
        <v>280</v>
      </c>
      <c r="G7" s="15">
        <v>600</v>
      </c>
      <c r="H7" s="15">
        <f t="shared" si="0"/>
        <v>168000</v>
      </c>
      <c r="I7" s="15">
        <v>700</v>
      </c>
      <c r="J7" s="15">
        <f t="shared" si="1"/>
        <v>196000</v>
      </c>
      <c r="K7" s="15">
        <f t="shared" si="2"/>
        <v>28000</v>
      </c>
      <c r="L7" s="15"/>
      <c r="M7" s="15"/>
      <c r="N7" s="15"/>
      <c r="O7" s="15"/>
      <c r="P7" s="26"/>
      <c r="Q7" s="15"/>
      <c r="R7" s="15"/>
      <c r="S7" s="27"/>
      <c r="T7" s="16"/>
      <c r="U7" s="15"/>
    </row>
    <row r="8" spans="1:21" ht="29.25" customHeight="1">
      <c r="A8" s="15">
        <v>4</v>
      </c>
      <c r="B8" s="15" t="s">
        <v>15</v>
      </c>
      <c r="C8" s="25">
        <v>46238</v>
      </c>
      <c r="D8" s="15" t="s">
        <v>42</v>
      </c>
      <c r="E8" s="15" t="s">
        <v>77</v>
      </c>
      <c r="F8" s="15">
        <v>18000</v>
      </c>
      <c r="G8" s="15">
        <v>13.5</v>
      </c>
      <c r="H8" s="15">
        <f t="shared" si="0"/>
        <v>243000</v>
      </c>
      <c r="I8" s="15">
        <v>15</v>
      </c>
      <c r="J8" s="15">
        <f t="shared" si="1"/>
        <v>270000</v>
      </c>
      <c r="K8" s="15">
        <f t="shared" si="2"/>
        <v>27000</v>
      </c>
      <c r="L8" s="15"/>
      <c r="M8" s="15" t="s">
        <v>84</v>
      </c>
      <c r="N8" s="15"/>
      <c r="O8" s="15">
        <v>980200</v>
      </c>
      <c r="P8" s="26">
        <f>O8*5%</f>
        <v>49010</v>
      </c>
      <c r="Q8" s="15">
        <f>O8-P8</f>
        <v>931190</v>
      </c>
      <c r="R8" s="15">
        <v>4989220</v>
      </c>
      <c r="S8" s="27">
        <f t="shared" ref="S8" si="3">O8-P8-Q8</f>
        <v>0</v>
      </c>
      <c r="T8" s="16" t="s">
        <v>46</v>
      </c>
      <c r="U8" s="15" t="s">
        <v>26</v>
      </c>
    </row>
    <row r="9" spans="1:21" ht="29.25" customHeight="1">
      <c r="A9" s="15">
        <v>5</v>
      </c>
      <c r="B9" s="15" t="s">
        <v>15</v>
      </c>
      <c r="C9" s="25">
        <v>46239</v>
      </c>
      <c r="D9" s="15" t="s">
        <v>42</v>
      </c>
      <c r="E9" s="15" t="s">
        <v>76</v>
      </c>
      <c r="F9" s="15">
        <v>17</v>
      </c>
      <c r="G9" s="15">
        <v>550</v>
      </c>
      <c r="H9" s="15">
        <f t="shared" si="0"/>
        <v>9350</v>
      </c>
      <c r="I9" s="15">
        <v>600</v>
      </c>
      <c r="J9" s="15">
        <f t="shared" si="1"/>
        <v>10200</v>
      </c>
      <c r="K9" s="15">
        <f t="shared" si="2"/>
        <v>850</v>
      </c>
      <c r="L9" s="15"/>
      <c r="M9" s="15"/>
      <c r="N9" s="15"/>
      <c r="O9" s="15"/>
      <c r="P9" s="26"/>
      <c r="Q9" s="15"/>
      <c r="R9" s="15"/>
      <c r="S9" s="27"/>
      <c r="T9" s="16"/>
      <c r="U9" s="15"/>
    </row>
    <row r="10" spans="1:21" ht="29.25" customHeight="1">
      <c r="A10" s="15">
        <v>6</v>
      </c>
      <c r="B10" s="15" t="s">
        <v>15</v>
      </c>
      <c r="C10" s="25">
        <v>46240</v>
      </c>
      <c r="D10" s="15" t="s">
        <v>42</v>
      </c>
      <c r="E10" s="55" t="s">
        <v>78</v>
      </c>
      <c r="F10" s="15">
        <v>5</v>
      </c>
      <c r="G10" s="15">
        <v>92000</v>
      </c>
      <c r="H10" s="15">
        <f t="shared" si="0"/>
        <v>460000</v>
      </c>
      <c r="I10" s="15">
        <v>96000</v>
      </c>
      <c r="J10" s="15">
        <f t="shared" si="1"/>
        <v>480000</v>
      </c>
      <c r="K10" s="15">
        <f t="shared" si="2"/>
        <v>20000</v>
      </c>
      <c r="L10" s="15"/>
      <c r="M10" s="15"/>
      <c r="N10" s="15"/>
      <c r="O10" s="15"/>
      <c r="P10" s="26"/>
      <c r="Q10" s="15"/>
      <c r="R10" s="15"/>
      <c r="S10" s="27"/>
      <c r="T10" s="16"/>
      <c r="U10" s="15"/>
    </row>
    <row r="11" spans="1:21" ht="29.25" customHeight="1">
      <c r="A11" s="15">
        <v>7</v>
      </c>
      <c r="B11" s="15" t="s">
        <v>15</v>
      </c>
      <c r="C11" s="25">
        <v>46241</v>
      </c>
      <c r="D11" s="15" t="s">
        <v>42</v>
      </c>
      <c r="E11" s="15"/>
      <c r="F11" s="15"/>
      <c r="G11" s="15">
        <v>600</v>
      </c>
      <c r="H11" s="15">
        <f t="shared" si="0"/>
        <v>0</v>
      </c>
      <c r="I11" s="15">
        <v>700</v>
      </c>
      <c r="J11" s="15">
        <f t="shared" si="1"/>
        <v>0</v>
      </c>
      <c r="K11" s="15">
        <f t="shared" si="2"/>
        <v>0</v>
      </c>
      <c r="L11" s="15"/>
      <c r="M11" s="15"/>
      <c r="N11" s="15"/>
      <c r="O11" s="15"/>
      <c r="P11" s="26"/>
      <c r="Q11" s="15"/>
      <c r="R11" s="15"/>
      <c r="S11" s="27"/>
      <c r="T11" s="16"/>
      <c r="U11" s="15"/>
    </row>
    <row r="12" spans="1:21" ht="29.25" customHeight="1">
      <c r="A12" s="15">
        <v>8</v>
      </c>
      <c r="B12" s="15" t="s">
        <v>15</v>
      </c>
      <c r="C12" s="25">
        <v>46242</v>
      </c>
      <c r="D12" s="15" t="s">
        <v>42</v>
      </c>
      <c r="E12" s="15"/>
      <c r="F12" s="15"/>
      <c r="G12" s="15">
        <v>600</v>
      </c>
      <c r="H12" s="15">
        <f t="shared" si="0"/>
        <v>0</v>
      </c>
      <c r="I12" s="15">
        <v>700</v>
      </c>
      <c r="J12" s="15">
        <f t="shared" si="1"/>
        <v>0</v>
      </c>
      <c r="K12" s="15">
        <f t="shared" si="2"/>
        <v>0</v>
      </c>
      <c r="L12" s="15"/>
      <c r="M12" s="15"/>
      <c r="N12" s="15"/>
      <c r="O12" s="15"/>
      <c r="P12" s="26"/>
      <c r="Q12" s="15"/>
      <c r="R12" s="15"/>
      <c r="S12" s="27"/>
      <c r="T12" s="16"/>
      <c r="U12" s="15"/>
    </row>
    <row r="13" spans="1:21" ht="29.25" customHeight="1">
      <c r="A13" s="15">
        <v>9</v>
      </c>
      <c r="B13" s="15" t="s">
        <v>15</v>
      </c>
      <c r="C13" s="25">
        <v>46243</v>
      </c>
      <c r="D13" s="15" t="s">
        <v>42</v>
      </c>
      <c r="E13" s="15"/>
      <c r="F13" s="30"/>
      <c r="G13" s="15">
        <v>600</v>
      </c>
      <c r="H13" s="15">
        <f t="shared" si="0"/>
        <v>0</v>
      </c>
      <c r="I13" s="15">
        <v>700</v>
      </c>
      <c r="J13" s="15">
        <f t="shared" si="1"/>
        <v>0</v>
      </c>
      <c r="K13" s="15">
        <f t="shared" si="2"/>
        <v>0</v>
      </c>
      <c r="L13" s="30"/>
      <c r="M13" s="15"/>
      <c r="N13" s="30"/>
      <c r="O13" s="30"/>
      <c r="P13" s="26"/>
      <c r="Q13" s="31"/>
      <c r="R13" s="15"/>
      <c r="S13" s="27"/>
      <c r="T13" s="16"/>
      <c r="U13" s="15"/>
    </row>
    <row r="14" spans="1:21" ht="29.25" customHeight="1">
      <c r="A14" s="15">
        <v>10</v>
      </c>
      <c r="B14" s="15" t="s">
        <v>15</v>
      </c>
      <c r="C14" s="25">
        <v>46244</v>
      </c>
      <c r="D14" s="15" t="s">
        <v>42</v>
      </c>
      <c r="E14" s="15"/>
      <c r="F14" s="30"/>
      <c r="G14" s="15">
        <v>600</v>
      </c>
      <c r="H14" s="15">
        <f t="shared" si="0"/>
        <v>0</v>
      </c>
      <c r="I14" s="15">
        <v>700</v>
      </c>
      <c r="J14" s="15">
        <f t="shared" si="1"/>
        <v>0</v>
      </c>
      <c r="K14" s="15">
        <f t="shared" si="2"/>
        <v>0</v>
      </c>
      <c r="L14" s="30"/>
      <c r="M14" s="15"/>
      <c r="N14" s="30"/>
      <c r="O14" s="30"/>
      <c r="P14" s="26"/>
      <c r="Q14" s="31"/>
      <c r="R14" s="15"/>
      <c r="S14" s="27"/>
      <c r="T14" s="16"/>
      <c r="U14" s="15"/>
    </row>
    <row r="15" spans="1:21" ht="29.25" customHeight="1">
      <c r="A15" s="15"/>
      <c r="B15" s="15"/>
      <c r="C15" s="25"/>
      <c r="D15" s="15"/>
      <c r="E15" s="15"/>
      <c r="F15" s="30"/>
      <c r="G15" s="30"/>
      <c r="H15" s="30"/>
      <c r="I15" s="30"/>
      <c r="J15" s="30"/>
      <c r="K15" s="30"/>
      <c r="L15" s="30"/>
      <c r="M15" s="15"/>
      <c r="N15" s="30"/>
      <c r="O15" s="30"/>
      <c r="P15" s="26"/>
      <c r="Q15" s="31"/>
      <c r="R15" s="15"/>
      <c r="S15" s="27"/>
      <c r="T15" s="16"/>
      <c r="U15" s="15"/>
    </row>
    <row r="16" spans="1:21" ht="29.25" customHeight="1">
      <c r="A16" s="15"/>
      <c r="B16" s="15"/>
      <c r="C16" s="25"/>
      <c r="D16" s="15"/>
      <c r="E16" s="15"/>
      <c r="F16" s="30"/>
      <c r="G16" s="30"/>
      <c r="H16" s="30">
        <f>SUM(H5:H15)</f>
        <v>898950</v>
      </c>
      <c r="I16" s="30"/>
      <c r="J16" s="30">
        <f>SUM(J5:J15)</f>
        <v>980200</v>
      </c>
      <c r="K16" s="30">
        <f>SUM(K5:K15)</f>
        <v>81250</v>
      </c>
      <c r="L16" s="30"/>
      <c r="M16" s="15"/>
      <c r="N16" s="30"/>
      <c r="O16" s="30"/>
      <c r="P16" s="26"/>
      <c r="Q16" s="31"/>
      <c r="R16" s="15"/>
      <c r="S16" s="27"/>
      <c r="T16" s="16"/>
      <c r="U16" s="15"/>
    </row>
    <row r="17" spans="1:21" ht="20.399999999999999">
      <c r="A17" s="17"/>
      <c r="B17" s="17"/>
      <c r="C17" s="17"/>
      <c r="D17" s="17"/>
      <c r="E17" s="17"/>
      <c r="F17" s="29"/>
      <c r="G17" s="29"/>
      <c r="H17" s="29"/>
      <c r="I17" s="29"/>
      <c r="J17" s="29"/>
      <c r="K17" s="29"/>
      <c r="L17" s="28"/>
      <c r="M17" s="18"/>
      <c r="N17" s="28"/>
      <c r="O17" s="22"/>
      <c r="P17" s="24"/>
      <c r="Q17" s="23"/>
      <c r="R17" s="19"/>
      <c r="S17" s="19"/>
      <c r="T17" s="17"/>
      <c r="U17" s="17"/>
    </row>
    <row r="18" spans="1:21" ht="1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20"/>
      <c r="Q18" s="20"/>
      <c r="R18" s="20"/>
      <c r="S18" s="20"/>
      <c r="T18" s="20"/>
      <c r="U18" s="20"/>
    </row>
  </sheetData>
  <mergeCells count="5">
    <mergeCell ref="A1:U1"/>
    <mergeCell ref="A2:U2"/>
    <mergeCell ref="F3:H3"/>
    <mergeCell ref="I3:J3"/>
    <mergeCell ref="K3:K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topLeftCell="H1" workbookViewId="0">
      <selection activeCell="P6" sqref="P6"/>
    </sheetView>
  </sheetViews>
  <sheetFormatPr defaultRowHeight="14.4"/>
  <cols>
    <col min="1" max="1" width="9.44140625" customWidth="1"/>
    <col min="2" max="2" width="21.5546875" customWidth="1"/>
    <col min="3" max="3" width="16.44140625" customWidth="1"/>
    <col min="4" max="4" width="19" customWidth="1"/>
    <col min="5" max="6" width="23.33203125" customWidth="1"/>
    <col min="7" max="7" width="25" customWidth="1"/>
    <col min="8" max="9" width="23.33203125" customWidth="1"/>
    <col min="10" max="13" width="20.88671875" customWidth="1"/>
    <col min="14" max="14" width="18.109375" customWidth="1"/>
    <col min="15" max="17" width="20.88671875" customWidth="1"/>
    <col min="18" max="18" width="32.109375" customWidth="1"/>
    <col min="19" max="19" width="20.88671875" customWidth="1"/>
  </cols>
  <sheetData>
    <row r="1" spans="1:19" ht="40.5" customHeight="1">
      <c r="A1" s="93" t="s">
        <v>30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</row>
    <row r="2" spans="1:19" ht="30.75" customHeight="1">
      <c r="A2" s="94" t="s">
        <v>50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</row>
    <row r="3" spans="1:19" ht="24.75" customHeight="1">
      <c r="A3" s="14" t="s">
        <v>17</v>
      </c>
      <c r="B3" s="14" t="s">
        <v>41</v>
      </c>
      <c r="C3" s="14" t="s">
        <v>31</v>
      </c>
      <c r="D3" s="14" t="s">
        <v>32</v>
      </c>
      <c r="E3" s="14" t="s">
        <v>43</v>
      </c>
      <c r="F3" s="50"/>
      <c r="G3" s="50"/>
      <c r="H3" s="50"/>
      <c r="I3" s="96" t="s">
        <v>54</v>
      </c>
      <c r="J3" s="14" t="s">
        <v>39</v>
      </c>
      <c r="K3" s="14" t="s">
        <v>18</v>
      </c>
      <c r="L3" s="14" t="s">
        <v>40</v>
      </c>
      <c r="M3" s="14" t="s">
        <v>19</v>
      </c>
      <c r="N3" s="14" t="s">
        <v>20</v>
      </c>
      <c r="O3" s="14" t="s">
        <v>21</v>
      </c>
      <c r="P3" s="14" t="s">
        <v>22</v>
      </c>
      <c r="Q3" s="14" t="s">
        <v>34</v>
      </c>
      <c r="R3" s="14" t="s">
        <v>23</v>
      </c>
      <c r="S3" s="14" t="s">
        <v>24</v>
      </c>
    </row>
    <row r="4" spans="1:19" ht="24.75" customHeight="1">
      <c r="A4" s="32"/>
      <c r="B4" s="32"/>
      <c r="C4" s="32"/>
      <c r="D4" s="32"/>
      <c r="E4" s="32"/>
      <c r="F4" s="14" t="s">
        <v>49</v>
      </c>
      <c r="G4" s="32" t="s">
        <v>79</v>
      </c>
      <c r="H4" s="32" t="s">
        <v>53</v>
      </c>
      <c r="I4" s="98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>
      <c r="A5" s="15">
        <v>1</v>
      </c>
      <c r="B5" s="15" t="s">
        <v>15</v>
      </c>
      <c r="C5" s="25">
        <v>46235</v>
      </c>
      <c r="D5" s="15" t="s">
        <v>42</v>
      </c>
      <c r="E5" s="15" t="s">
        <v>81</v>
      </c>
      <c r="F5" s="15">
        <v>250000</v>
      </c>
      <c r="G5" s="15">
        <v>100000</v>
      </c>
      <c r="H5" s="15">
        <v>450000</v>
      </c>
      <c r="I5" s="15">
        <f>H5-G5-F5-N5</f>
        <v>77500</v>
      </c>
      <c r="J5" s="15"/>
      <c r="K5" s="15" t="s">
        <v>83</v>
      </c>
      <c r="L5" s="15"/>
      <c r="M5" s="15">
        <v>450000</v>
      </c>
      <c r="N5" s="26">
        <f t="shared" ref="N5:N6" si="0">M5*5%</f>
        <v>22500</v>
      </c>
      <c r="O5" s="15">
        <v>427500</v>
      </c>
      <c r="P5" s="15">
        <v>4989221</v>
      </c>
      <c r="Q5" s="27">
        <f t="shared" ref="Q5:Q6" si="1">M5-N5-O5</f>
        <v>0</v>
      </c>
      <c r="R5" s="16" t="s">
        <v>81</v>
      </c>
      <c r="S5" s="15" t="s">
        <v>26</v>
      </c>
    </row>
    <row r="6" spans="1:19" ht="29.25" customHeight="1">
      <c r="A6" s="15">
        <v>2</v>
      </c>
      <c r="B6" s="15" t="s">
        <v>15</v>
      </c>
      <c r="C6" s="25">
        <v>46236</v>
      </c>
      <c r="D6" s="15" t="s">
        <v>42</v>
      </c>
      <c r="E6" s="15" t="s">
        <v>80</v>
      </c>
      <c r="F6" s="15">
        <v>350000</v>
      </c>
      <c r="G6" s="15">
        <v>200000</v>
      </c>
      <c r="H6" s="15">
        <v>750000</v>
      </c>
      <c r="I6" s="15">
        <f t="shared" ref="I6:I14" si="2">H6-G6-F6-N6</f>
        <v>162500</v>
      </c>
      <c r="J6" s="15"/>
      <c r="K6" s="15" t="s">
        <v>82</v>
      </c>
      <c r="L6" s="15"/>
      <c r="M6" s="15">
        <v>750000</v>
      </c>
      <c r="N6" s="26">
        <f t="shared" si="0"/>
        <v>37500</v>
      </c>
      <c r="O6" s="15"/>
      <c r="P6" s="15"/>
      <c r="Q6" s="27">
        <f t="shared" si="1"/>
        <v>712500</v>
      </c>
      <c r="R6" s="16" t="s">
        <v>80</v>
      </c>
      <c r="S6" s="15" t="s">
        <v>28</v>
      </c>
    </row>
    <row r="7" spans="1:19" ht="29.25" customHeight="1">
      <c r="A7" s="15">
        <v>3</v>
      </c>
      <c r="B7" s="15"/>
      <c r="C7" s="25"/>
      <c r="D7" s="15"/>
      <c r="E7" s="15"/>
      <c r="F7" s="15"/>
      <c r="G7" s="15"/>
      <c r="H7" s="15"/>
      <c r="I7" s="15">
        <f t="shared" si="2"/>
        <v>0</v>
      </c>
      <c r="J7" s="15"/>
      <c r="K7" s="15"/>
      <c r="L7" s="15"/>
      <c r="M7" s="15"/>
      <c r="N7" s="26"/>
      <c r="O7" s="15"/>
      <c r="P7" s="15"/>
      <c r="Q7" s="27"/>
      <c r="R7" s="16"/>
      <c r="S7" s="15"/>
    </row>
    <row r="8" spans="1:19" ht="29.25" customHeight="1">
      <c r="A8" s="15">
        <v>4</v>
      </c>
      <c r="B8" s="15"/>
      <c r="C8" s="25"/>
      <c r="D8" s="15"/>
      <c r="E8" s="15"/>
      <c r="F8" s="15"/>
      <c r="G8" s="15"/>
      <c r="H8" s="15"/>
      <c r="I8" s="15">
        <f t="shared" si="2"/>
        <v>0</v>
      </c>
      <c r="J8" s="15"/>
      <c r="K8" s="15"/>
      <c r="L8" s="15"/>
      <c r="M8" s="15"/>
      <c r="N8" s="26"/>
      <c r="O8" s="15"/>
      <c r="P8" s="15"/>
      <c r="Q8" s="27"/>
      <c r="R8" s="16"/>
      <c r="S8" s="15"/>
    </row>
    <row r="9" spans="1:19" ht="29.25" customHeight="1">
      <c r="A9" s="15">
        <v>5</v>
      </c>
      <c r="B9" s="15"/>
      <c r="C9" s="25"/>
      <c r="D9" s="15"/>
      <c r="E9" s="15"/>
      <c r="F9" s="15"/>
      <c r="G9" s="15"/>
      <c r="H9" s="15"/>
      <c r="I9" s="15">
        <f t="shared" si="2"/>
        <v>0</v>
      </c>
      <c r="J9" s="15"/>
      <c r="K9" s="15"/>
      <c r="L9" s="15"/>
      <c r="M9" s="15"/>
      <c r="N9" s="26"/>
      <c r="O9" s="15"/>
      <c r="P9" s="15"/>
      <c r="Q9" s="27"/>
      <c r="R9" s="16"/>
      <c r="S9" s="15"/>
    </row>
    <row r="10" spans="1:19" ht="29.25" customHeight="1">
      <c r="A10" s="15">
        <v>6</v>
      </c>
      <c r="B10" s="15"/>
      <c r="C10" s="25"/>
      <c r="D10" s="15"/>
      <c r="E10" s="15"/>
      <c r="F10" s="15"/>
      <c r="G10" s="15"/>
      <c r="H10" s="15"/>
      <c r="I10" s="15">
        <f t="shared" si="2"/>
        <v>0</v>
      </c>
      <c r="J10" s="15"/>
      <c r="K10" s="15"/>
      <c r="L10" s="15"/>
      <c r="M10" s="15"/>
      <c r="N10" s="26"/>
      <c r="O10" s="15"/>
      <c r="P10" s="15"/>
      <c r="Q10" s="27"/>
      <c r="R10" s="16"/>
      <c r="S10" s="15"/>
    </row>
    <row r="11" spans="1:19" ht="29.25" customHeight="1">
      <c r="A11" s="15">
        <v>7</v>
      </c>
      <c r="B11" s="15"/>
      <c r="C11" s="25"/>
      <c r="D11" s="15"/>
      <c r="E11" s="15"/>
      <c r="F11" s="15"/>
      <c r="G11" s="15"/>
      <c r="H11" s="15"/>
      <c r="I11" s="15">
        <f t="shared" si="2"/>
        <v>0</v>
      </c>
      <c r="J11" s="15"/>
      <c r="K11" s="15"/>
      <c r="L11" s="15"/>
      <c r="M11" s="15"/>
      <c r="N11" s="26"/>
      <c r="O11" s="15"/>
      <c r="P11" s="15"/>
      <c r="Q11" s="27"/>
      <c r="R11" s="16"/>
      <c r="S11" s="15"/>
    </row>
    <row r="12" spans="1:19" ht="29.25" customHeight="1">
      <c r="A12" s="15">
        <v>8</v>
      </c>
      <c r="B12" s="15"/>
      <c r="C12" s="25"/>
      <c r="D12" s="15"/>
      <c r="E12" s="15"/>
      <c r="F12" s="15"/>
      <c r="G12" s="15"/>
      <c r="H12" s="15"/>
      <c r="I12" s="15">
        <f t="shared" si="2"/>
        <v>0</v>
      </c>
      <c r="J12" s="15"/>
      <c r="K12" s="15"/>
      <c r="L12" s="15"/>
      <c r="M12" s="15"/>
      <c r="N12" s="26"/>
      <c r="O12" s="15"/>
      <c r="P12" s="15"/>
      <c r="Q12" s="27"/>
      <c r="R12" s="16"/>
      <c r="S12" s="15"/>
    </row>
    <row r="13" spans="1:19" ht="29.25" customHeight="1">
      <c r="A13" s="15">
        <v>9</v>
      </c>
      <c r="B13" s="15"/>
      <c r="C13" s="25"/>
      <c r="D13" s="15"/>
      <c r="E13" s="15"/>
      <c r="F13" s="15"/>
      <c r="G13" s="15"/>
      <c r="H13" s="15"/>
      <c r="I13" s="15">
        <f t="shared" si="2"/>
        <v>0</v>
      </c>
      <c r="J13" s="30"/>
      <c r="K13" s="15"/>
      <c r="L13" s="30"/>
      <c r="M13" s="30"/>
      <c r="N13" s="26"/>
      <c r="O13" s="31"/>
      <c r="P13" s="15"/>
      <c r="Q13" s="27"/>
      <c r="R13" s="16"/>
      <c r="S13" s="15"/>
    </row>
    <row r="14" spans="1:19" ht="29.25" customHeight="1">
      <c r="A14" s="15">
        <v>10</v>
      </c>
      <c r="B14" s="15"/>
      <c r="C14" s="25"/>
      <c r="D14" s="15"/>
      <c r="E14" s="15"/>
      <c r="F14" s="15"/>
      <c r="G14" s="15"/>
      <c r="H14" s="15"/>
      <c r="I14" s="15">
        <f t="shared" si="2"/>
        <v>0</v>
      </c>
      <c r="J14" s="30"/>
      <c r="K14" s="15"/>
      <c r="L14" s="30"/>
      <c r="M14" s="30"/>
      <c r="N14" s="26"/>
      <c r="O14" s="31"/>
      <c r="P14" s="15"/>
      <c r="Q14" s="27"/>
      <c r="R14" s="16"/>
      <c r="S14" s="15"/>
    </row>
    <row r="15" spans="1:19" ht="29.25" customHeight="1">
      <c r="A15" s="15"/>
      <c r="B15" s="15"/>
      <c r="C15" s="25"/>
      <c r="D15" s="15"/>
      <c r="E15" s="15"/>
      <c r="F15" s="30"/>
      <c r="G15" s="30"/>
      <c r="H15" s="30"/>
      <c r="I15" s="30"/>
      <c r="J15" s="30"/>
      <c r="K15" s="15"/>
      <c r="L15" s="30"/>
      <c r="M15" s="30"/>
      <c r="N15" s="26"/>
      <c r="O15" s="31"/>
      <c r="P15" s="15"/>
      <c r="Q15" s="27"/>
      <c r="R15" s="16"/>
      <c r="S15" s="15"/>
    </row>
    <row r="16" spans="1:19" ht="29.25" customHeight="1">
      <c r="A16" s="15"/>
      <c r="B16" s="15"/>
      <c r="C16" s="25"/>
      <c r="D16" s="15"/>
      <c r="E16" s="15"/>
      <c r="F16" s="30">
        <f>SUM(F5:F15)</f>
        <v>600000</v>
      </c>
      <c r="G16" s="30"/>
      <c r="H16" s="30">
        <f>SUM(H5:H15)</f>
        <v>1200000</v>
      </c>
      <c r="I16" s="30">
        <f>SUM(I5:I15)</f>
        <v>240000</v>
      </c>
      <c r="J16" s="30"/>
      <c r="K16" s="15"/>
      <c r="L16" s="30"/>
      <c r="M16" s="30"/>
      <c r="N16" s="26"/>
      <c r="O16" s="31"/>
      <c r="P16" s="15"/>
      <c r="Q16" s="27"/>
      <c r="R16" s="16"/>
      <c r="S16" s="15"/>
    </row>
    <row r="17" spans="1:19" ht="20.399999999999999">
      <c r="A17" s="17"/>
      <c r="B17" s="17"/>
      <c r="C17" s="17"/>
      <c r="D17" s="17"/>
      <c r="E17" s="17"/>
      <c r="F17" s="29"/>
      <c r="G17" s="29"/>
      <c r="H17" s="29"/>
      <c r="I17" s="29"/>
      <c r="J17" s="28"/>
      <c r="K17" s="18"/>
      <c r="L17" s="28"/>
      <c r="M17" s="22"/>
      <c r="N17" s="24"/>
      <c r="O17" s="23"/>
      <c r="P17" s="19"/>
      <c r="Q17" s="19"/>
      <c r="R17" s="17"/>
      <c r="S17" s="17"/>
    </row>
    <row r="18" spans="1:19" ht="1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1"/>
      <c r="N18" s="20"/>
      <c r="O18" s="20"/>
      <c r="P18" s="20"/>
      <c r="Q18" s="20"/>
      <c r="R18" s="20"/>
      <c r="S18" s="20"/>
    </row>
  </sheetData>
  <mergeCells count="3">
    <mergeCell ref="A1:S1"/>
    <mergeCell ref="A2:S2"/>
    <mergeCell ref="I3:I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3"/>
  <sheetViews>
    <sheetView zoomScale="85" zoomScaleNormal="85" workbookViewId="0">
      <selection activeCell="L32" sqref="L32"/>
    </sheetView>
  </sheetViews>
  <sheetFormatPr defaultRowHeight="14.4"/>
  <cols>
    <col min="1" max="1" width="7" customWidth="1"/>
    <col min="2" max="2" width="20.33203125" customWidth="1"/>
    <col min="3" max="3" width="24" customWidth="1"/>
    <col min="4" max="4" width="22.33203125" customWidth="1"/>
    <col min="5" max="5" width="14" customWidth="1"/>
    <col min="6" max="6" width="44.109375" customWidth="1"/>
    <col min="7" max="8" width="20" customWidth="1"/>
    <col min="9" max="10" width="16.6640625" customWidth="1"/>
    <col min="11" max="15" width="16" customWidth="1"/>
    <col min="16" max="17" width="25" customWidth="1"/>
    <col min="18" max="18" width="28" customWidth="1"/>
  </cols>
  <sheetData>
    <row r="1" spans="1:18" ht="30" customHeight="1">
      <c r="A1" s="103" t="s">
        <v>88</v>
      </c>
      <c r="B1" s="103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</row>
    <row r="2" spans="1:18" ht="38.1" customHeight="1">
      <c r="A2" s="56" t="s">
        <v>89</v>
      </c>
      <c r="B2" s="56" t="s">
        <v>101</v>
      </c>
      <c r="C2" s="56" t="s">
        <v>90</v>
      </c>
      <c r="D2" s="56" t="s">
        <v>102</v>
      </c>
      <c r="E2" s="56" t="s">
        <v>100</v>
      </c>
      <c r="F2" s="56" t="s">
        <v>91</v>
      </c>
      <c r="G2" s="56" t="s">
        <v>103</v>
      </c>
      <c r="H2" s="56" t="s">
        <v>92</v>
      </c>
      <c r="I2" s="56" t="s">
        <v>19</v>
      </c>
      <c r="J2" s="56" t="s">
        <v>93</v>
      </c>
      <c r="K2" s="56" t="s">
        <v>94</v>
      </c>
      <c r="L2" s="56" t="s">
        <v>95</v>
      </c>
      <c r="M2" s="56" t="s">
        <v>34</v>
      </c>
      <c r="N2" s="56" t="s">
        <v>96</v>
      </c>
      <c r="O2" s="56" t="s">
        <v>97</v>
      </c>
      <c r="P2" s="56" t="s">
        <v>98</v>
      </c>
      <c r="Q2" s="56" t="s">
        <v>104</v>
      </c>
      <c r="R2" s="56" t="s">
        <v>24</v>
      </c>
    </row>
    <row r="3" spans="1:18">
      <c r="A3" s="66">
        <v>1</v>
      </c>
      <c r="B3" s="66" t="s">
        <v>30</v>
      </c>
      <c r="C3" s="66" t="s">
        <v>35</v>
      </c>
      <c r="D3" s="66" t="s">
        <v>106</v>
      </c>
      <c r="E3" s="58">
        <v>46257</v>
      </c>
      <c r="F3" s="66" t="s">
        <v>25</v>
      </c>
      <c r="G3" s="70">
        <v>46258</v>
      </c>
      <c r="H3" s="66" t="s">
        <v>107</v>
      </c>
      <c r="I3" s="59">
        <v>254100</v>
      </c>
      <c r="J3" s="59">
        <f>I3*2%</f>
        <v>5082</v>
      </c>
      <c r="K3" s="59"/>
      <c r="L3" s="59">
        <f>I3-J3</f>
        <v>249018</v>
      </c>
      <c r="M3" s="69">
        <f>I3-J3-K3-L3</f>
        <v>0</v>
      </c>
      <c r="N3" s="66" t="s">
        <v>87</v>
      </c>
      <c r="O3" s="71">
        <v>46259</v>
      </c>
      <c r="P3" s="66">
        <v>4989219</v>
      </c>
      <c r="Q3" s="66" t="s">
        <v>105</v>
      </c>
      <c r="R3" s="57"/>
    </row>
    <row r="4" spans="1:18">
      <c r="A4" s="67">
        <v>2</v>
      </c>
      <c r="B4" s="66" t="s">
        <v>30</v>
      </c>
      <c r="C4" s="66" t="s">
        <v>36</v>
      </c>
      <c r="D4" s="66" t="s">
        <v>106</v>
      </c>
      <c r="E4" s="58">
        <v>46260</v>
      </c>
      <c r="F4" s="66" t="s">
        <v>25</v>
      </c>
      <c r="G4" s="70">
        <v>46262</v>
      </c>
      <c r="H4" s="66" t="s">
        <v>107</v>
      </c>
      <c r="I4" s="59">
        <v>211200</v>
      </c>
      <c r="J4" s="59">
        <f>I4*2%</f>
        <v>4224</v>
      </c>
      <c r="K4" s="59"/>
      <c r="L4" s="59"/>
      <c r="M4" s="69">
        <f>I4-J4-K4-L4</f>
        <v>206976</v>
      </c>
      <c r="N4" s="66" t="s">
        <v>28</v>
      </c>
      <c r="O4" s="71"/>
      <c r="P4" s="60"/>
      <c r="Q4" s="60"/>
      <c r="R4" s="60"/>
    </row>
    <row r="5" spans="1:18" ht="28.8">
      <c r="A5" s="66">
        <v>3</v>
      </c>
      <c r="B5" s="66" t="s">
        <v>30</v>
      </c>
      <c r="C5" s="66" t="s">
        <v>86</v>
      </c>
      <c r="D5" s="66" t="s">
        <v>106</v>
      </c>
      <c r="E5" s="58">
        <v>46259</v>
      </c>
      <c r="F5" s="57" t="s">
        <v>46</v>
      </c>
      <c r="G5" s="70">
        <v>46264</v>
      </c>
      <c r="H5" s="66" t="s">
        <v>108</v>
      </c>
      <c r="I5" s="59">
        <v>1040000</v>
      </c>
      <c r="J5" s="59">
        <f>I5*5%</f>
        <v>52000</v>
      </c>
      <c r="K5" s="59"/>
      <c r="L5" s="59"/>
      <c r="M5" s="69">
        <f t="shared" ref="M5:M68" si="0">I5-J5-K5-L5</f>
        <v>988000</v>
      </c>
      <c r="N5" s="66" t="s">
        <v>28</v>
      </c>
      <c r="O5" s="71"/>
      <c r="P5" s="57"/>
      <c r="Q5" s="57"/>
      <c r="R5" s="57"/>
    </row>
    <row r="6" spans="1:18">
      <c r="A6" s="67">
        <v>4</v>
      </c>
      <c r="B6" s="66" t="s">
        <v>30</v>
      </c>
      <c r="C6" s="67" t="s">
        <v>85</v>
      </c>
      <c r="D6" s="66" t="s">
        <v>106</v>
      </c>
      <c r="E6" s="58">
        <v>46236</v>
      </c>
      <c r="F6" s="60" t="s">
        <v>110</v>
      </c>
      <c r="G6" s="70">
        <v>46237</v>
      </c>
      <c r="H6" s="66" t="s">
        <v>108</v>
      </c>
      <c r="I6" s="62">
        <v>72800</v>
      </c>
      <c r="J6" s="59">
        <f t="shared" ref="J6:J69" si="1">I6*5%</f>
        <v>3640</v>
      </c>
      <c r="K6" s="62"/>
      <c r="L6" s="62"/>
      <c r="M6" s="69">
        <f t="shared" si="0"/>
        <v>69160</v>
      </c>
      <c r="N6" s="66" t="s">
        <v>28</v>
      </c>
      <c r="O6" s="72"/>
      <c r="P6" s="60"/>
      <c r="Q6" s="60"/>
      <c r="R6" s="60"/>
    </row>
    <row r="7" spans="1:18">
      <c r="A7" s="66">
        <v>5</v>
      </c>
      <c r="B7" s="66" t="s">
        <v>30</v>
      </c>
      <c r="C7" s="66" t="s">
        <v>62</v>
      </c>
      <c r="D7" s="66" t="s">
        <v>106</v>
      </c>
      <c r="E7" s="58">
        <v>46240</v>
      </c>
      <c r="F7" s="57" t="s">
        <v>111</v>
      </c>
      <c r="G7" s="70">
        <v>46244</v>
      </c>
      <c r="H7" s="66" t="s">
        <v>108</v>
      </c>
      <c r="I7" s="59">
        <v>29300</v>
      </c>
      <c r="J7" s="59">
        <f t="shared" si="1"/>
        <v>1465</v>
      </c>
      <c r="K7" s="59"/>
      <c r="L7" s="59"/>
      <c r="M7" s="69">
        <f t="shared" si="0"/>
        <v>27835</v>
      </c>
      <c r="N7" s="66" t="s">
        <v>28</v>
      </c>
      <c r="O7" s="71"/>
      <c r="P7" s="57"/>
      <c r="Q7" s="57"/>
      <c r="R7" s="57"/>
    </row>
    <row r="8" spans="1:18" ht="21.75" customHeight="1">
      <c r="A8" s="67">
        <v>6</v>
      </c>
      <c r="B8" s="66" t="s">
        <v>30</v>
      </c>
      <c r="C8" s="67" t="s">
        <v>84</v>
      </c>
      <c r="D8" s="66" t="s">
        <v>106</v>
      </c>
      <c r="E8" s="58">
        <v>46246</v>
      </c>
      <c r="F8" s="57" t="s">
        <v>113</v>
      </c>
      <c r="G8" s="70">
        <v>46248</v>
      </c>
      <c r="H8" s="66" t="s">
        <v>108</v>
      </c>
      <c r="I8" s="62">
        <v>980200</v>
      </c>
      <c r="J8" s="59">
        <f t="shared" si="1"/>
        <v>49010</v>
      </c>
      <c r="K8" s="62"/>
      <c r="L8" s="62">
        <v>931190</v>
      </c>
      <c r="M8" s="69">
        <f t="shared" si="0"/>
        <v>0</v>
      </c>
      <c r="N8" s="67" t="s">
        <v>87</v>
      </c>
      <c r="O8" s="72">
        <v>46250</v>
      </c>
      <c r="P8" s="67">
        <v>4989220</v>
      </c>
      <c r="Q8" s="67" t="s">
        <v>105</v>
      </c>
      <c r="R8" s="60"/>
    </row>
    <row r="9" spans="1:18">
      <c r="A9" s="66">
        <v>7</v>
      </c>
      <c r="B9" s="66" t="s">
        <v>30</v>
      </c>
      <c r="C9" s="66" t="s">
        <v>83</v>
      </c>
      <c r="D9" s="66" t="s">
        <v>106</v>
      </c>
      <c r="E9" s="58">
        <v>46252</v>
      </c>
      <c r="F9" s="57" t="s">
        <v>81</v>
      </c>
      <c r="G9" s="70">
        <v>46254</v>
      </c>
      <c r="H9" s="66" t="s">
        <v>108</v>
      </c>
      <c r="I9" s="59">
        <v>450000</v>
      </c>
      <c r="J9" s="59">
        <f t="shared" si="1"/>
        <v>22500</v>
      </c>
      <c r="K9" s="59"/>
      <c r="L9" s="59">
        <v>427500</v>
      </c>
      <c r="M9" s="69">
        <f t="shared" si="0"/>
        <v>0</v>
      </c>
      <c r="N9" s="67" t="s">
        <v>87</v>
      </c>
      <c r="O9" s="71">
        <v>46256</v>
      </c>
      <c r="P9" s="66">
        <v>4989221</v>
      </c>
      <c r="Q9" s="67" t="s">
        <v>105</v>
      </c>
      <c r="R9" s="57"/>
    </row>
    <row r="10" spans="1:18">
      <c r="A10" s="67">
        <v>8</v>
      </c>
      <c r="B10" s="67"/>
      <c r="C10" s="60"/>
      <c r="D10" s="60"/>
      <c r="E10" s="61"/>
      <c r="F10" s="60"/>
      <c r="G10" s="60"/>
      <c r="H10" s="60"/>
      <c r="I10" s="62"/>
      <c r="J10" s="59">
        <f t="shared" si="1"/>
        <v>0</v>
      </c>
      <c r="K10" s="62"/>
      <c r="L10" s="62"/>
      <c r="M10" s="69">
        <f t="shared" si="0"/>
        <v>0</v>
      </c>
      <c r="N10" s="60"/>
      <c r="O10" s="61"/>
      <c r="P10" s="60"/>
      <c r="Q10" s="60"/>
      <c r="R10" s="60"/>
    </row>
    <row r="11" spans="1:18">
      <c r="A11" s="66">
        <v>9</v>
      </c>
      <c r="B11" s="66"/>
      <c r="C11" s="57"/>
      <c r="D11" s="57"/>
      <c r="E11" s="58"/>
      <c r="F11" s="57"/>
      <c r="G11" s="57"/>
      <c r="H11" s="57"/>
      <c r="I11" s="59"/>
      <c r="J11" s="59">
        <f t="shared" si="1"/>
        <v>0</v>
      </c>
      <c r="K11" s="59"/>
      <c r="L11" s="59"/>
      <c r="M11" s="69">
        <f t="shared" si="0"/>
        <v>0</v>
      </c>
      <c r="N11" s="57"/>
      <c r="O11" s="58"/>
      <c r="P11" s="57"/>
      <c r="Q11" s="57"/>
      <c r="R11" s="57"/>
    </row>
    <row r="12" spans="1:18">
      <c r="A12" s="67">
        <v>10</v>
      </c>
      <c r="B12" s="67"/>
      <c r="C12" s="60"/>
      <c r="D12" s="60"/>
      <c r="E12" s="61"/>
      <c r="F12" s="60"/>
      <c r="G12" s="60"/>
      <c r="H12" s="60"/>
      <c r="I12" s="62"/>
      <c r="J12" s="59">
        <f t="shared" si="1"/>
        <v>0</v>
      </c>
      <c r="K12" s="62"/>
      <c r="L12" s="62"/>
      <c r="M12" s="69">
        <f t="shared" si="0"/>
        <v>0</v>
      </c>
      <c r="N12" s="60"/>
      <c r="O12" s="61"/>
      <c r="P12" s="60"/>
      <c r="Q12" s="60"/>
      <c r="R12" s="60"/>
    </row>
    <row r="13" spans="1:18">
      <c r="A13" s="66">
        <v>11</v>
      </c>
      <c r="B13" s="66"/>
      <c r="C13" s="57"/>
      <c r="D13" s="57"/>
      <c r="E13" s="58"/>
      <c r="F13" s="57"/>
      <c r="G13" s="57"/>
      <c r="H13" s="57"/>
      <c r="I13" s="59"/>
      <c r="J13" s="59">
        <f t="shared" si="1"/>
        <v>0</v>
      </c>
      <c r="K13" s="59"/>
      <c r="L13" s="59"/>
      <c r="M13" s="69">
        <f t="shared" si="0"/>
        <v>0</v>
      </c>
      <c r="N13" s="57"/>
      <c r="O13" s="58"/>
      <c r="P13" s="57"/>
      <c r="Q13" s="57"/>
      <c r="R13" s="57"/>
    </row>
    <row r="14" spans="1:18">
      <c r="A14" s="67">
        <v>12</v>
      </c>
      <c r="B14" s="67"/>
      <c r="C14" s="60"/>
      <c r="D14" s="60"/>
      <c r="E14" s="61"/>
      <c r="F14" s="60"/>
      <c r="G14" s="60"/>
      <c r="H14" s="60"/>
      <c r="I14" s="62"/>
      <c r="J14" s="59">
        <f t="shared" si="1"/>
        <v>0</v>
      </c>
      <c r="K14" s="62"/>
      <c r="L14" s="62"/>
      <c r="M14" s="69">
        <f t="shared" si="0"/>
        <v>0</v>
      </c>
      <c r="N14" s="60"/>
      <c r="O14" s="61"/>
      <c r="P14" s="60"/>
      <c r="Q14" s="60"/>
      <c r="R14" s="60"/>
    </row>
    <row r="15" spans="1:18">
      <c r="A15" s="66">
        <v>13</v>
      </c>
      <c r="B15" s="66"/>
      <c r="C15" s="57"/>
      <c r="D15" s="57"/>
      <c r="E15" s="58"/>
      <c r="F15" s="57"/>
      <c r="G15" s="57"/>
      <c r="H15" s="57"/>
      <c r="I15" s="59"/>
      <c r="J15" s="59">
        <f t="shared" si="1"/>
        <v>0</v>
      </c>
      <c r="K15" s="59"/>
      <c r="L15" s="59"/>
      <c r="M15" s="69">
        <f t="shared" si="0"/>
        <v>0</v>
      </c>
      <c r="N15" s="57"/>
      <c r="O15" s="58"/>
      <c r="P15" s="57"/>
      <c r="Q15" s="57"/>
      <c r="R15" s="57"/>
    </row>
    <row r="16" spans="1:18">
      <c r="A16" s="67">
        <v>14</v>
      </c>
      <c r="B16" s="67"/>
      <c r="C16" s="60"/>
      <c r="D16" s="60"/>
      <c r="E16" s="61"/>
      <c r="F16" s="60"/>
      <c r="G16" s="60"/>
      <c r="H16" s="60"/>
      <c r="I16" s="62"/>
      <c r="J16" s="59">
        <f t="shared" si="1"/>
        <v>0</v>
      </c>
      <c r="K16" s="62"/>
      <c r="L16" s="62"/>
      <c r="M16" s="69">
        <f t="shared" si="0"/>
        <v>0</v>
      </c>
      <c r="N16" s="60"/>
      <c r="O16" s="61"/>
      <c r="P16" s="60"/>
      <c r="Q16" s="60"/>
      <c r="R16" s="60"/>
    </row>
    <row r="17" spans="1:18">
      <c r="A17" s="66">
        <v>15</v>
      </c>
      <c r="B17" s="66"/>
      <c r="C17" s="57"/>
      <c r="D17" s="57"/>
      <c r="E17" s="58"/>
      <c r="F17" s="57"/>
      <c r="G17" s="57"/>
      <c r="H17" s="57"/>
      <c r="I17" s="59"/>
      <c r="J17" s="59">
        <f t="shared" si="1"/>
        <v>0</v>
      </c>
      <c r="K17" s="59"/>
      <c r="L17" s="59"/>
      <c r="M17" s="69">
        <f t="shared" si="0"/>
        <v>0</v>
      </c>
      <c r="N17" s="57"/>
      <c r="O17" s="58"/>
      <c r="P17" s="57"/>
      <c r="Q17" s="57"/>
      <c r="R17" s="57"/>
    </row>
    <row r="18" spans="1:18">
      <c r="A18" s="67">
        <v>16</v>
      </c>
      <c r="B18" s="67"/>
      <c r="C18" s="60"/>
      <c r="D18" s="60"/>
      <c r="E18" s="61"/>
      <c r="F18" s="60"/>
      <c r="G18" s="60"/>
      <c r="H18" s="60"/>
      <c r="I18" s="62"/>
      <c r="J18" s="59">
        <f t="shared" si="1"/>
        <v>0</v>
      </c>
      <c r="K18" s="62"/>
      <c r="L18" s="62"/>
      <c r="M18" s="69">
        <f t="shared" si="0"/>
        <v>0</v>
      </c>
      <c r="N18" s="60"/>
      <c r="O18" s="61"/>
      <c r="P18" s="60"/>
      <c r="Q18" s="60"/>
      <c r="R18" s="60"/>
    </row>
    <row r="19" spans="1:18">
      <c r="A19" s="66">
        <v>17</v>
      </c>
      <c r="B19" s="66"/>
      <c r="C19" s="57"/>
      <c r="D19" s="57"/>
      <c r="E19" s="58"/>
      <c r="F19" s="57"/>
      <c r="G19" s="57"/>
      <c r="H19" s="57"/>
      <c r="I19" s="59"/>
      <c r="J19" s="59">
        <f t="shared" si="1"/>
        <v>0</v>
      </c>
      <c r="K19" s="59"/>
      <c r="L19" s="59"/>
      <c r="M19" s="69">
        <f t="shared" si="0"/>
        <v>0</v>
      </c>
      <c r="N19" s="57"/>
      <c r="O19" s="58"/>
      <c r="P19" s="57"/>
      <c r="Q19" s="57"/>
      <c r="R19" s="57"/>
    </row>
    <row r="20" spans="1:18">
      <c r="A20" s="67">
        <v>18</v>
      </c>
      <c r="B20" s="67"/>
      <c r="C20" s="60"/>
      <c r="D20" s="60"/>
      <c r="E20" s="61"/>
      <c r="F20" s="60"/>
      <c r="G20" s="60"/>
      <c r="H20" s="60"/>
      <c r="I20" s="62"/>
      <c r="J20" s="59">
        <f t="shared" si="1"/>
        <v>0</v>
      </c>
      <c r="K20" s="62"/>
      <c r="L20" s="62"/>
      <c r="M20" s="69">
        <f t="shared" si="0"/>
        <v>0</v>
      </c>
      <c r="N20" s="60"/>
      <c r="O20" s="61"/>
      <c r="P20" s="60"/>
      <c r="Q20" s="60"/>
      <c r="R20" s="60"/>
    </row>
    <row r="21" spans="1:18">
      <c r="A21" s="66">
        <v>19</v>
      </c>
      <c r="B21" s="66"/>
      <c r="C21" s="57"/>
      <c r="D21" s="57"/>
      <c r="E21" s="58"/>
      <c r="F21" s="57"/>
      <c r="G21" s="57"/>
      <c r="H21" s="57"/>
      <c r="I21" s="59"/>
      <c r="J21" s="59">
        <f t="shared" si="1"/>
        <v>0</v>
      </c>
      <c r="K21" s="59"/>
      <c r="L21" s="59"/>
      <c r="M21" s="69">
        <f t="shared" si="0"/>
        <v>0</v>
      </c>
      <c r="N21" s="57"/>
      <c r="O21" s="58"/>
      <c r="P21" s="57"/>
      <c r="Q21" s="57"/>
      <c r="R21" s="57"/>
    </row>
    <row r="22" spans="1:18">
      <c r="A22" s="67">
        <v>20</v>
      </c>
      <c r="B22" s="67"/>
      <c r="C22" s="60"/>
      <c r="D22" s="60"/>
      <c r="E22" s="61"/>
      <c r="F22" s="60"/>
      <c r="G22" s="60"/>
      <c r="H22" s="60"/>
      <c r="I22" s="62"/>
      <c r="J22" s="59">
        <f t="shared" si="1"/>
        <v>0</v>
      </c>
      <c r="K22" s="62"/>
      <c r="L22" s="62"/>
      <c r="M22" s="69">
        <f t="shared" si="0"/>
        <v>0</v>
      </c>
      <c r="N22" s="60"/>
      <c r="O22" s="61"/>
      <c r="P22" s="60"/>
      <c r="Q22" s="60"/>
      <c r="R22" s="60"/>
    </row>
    <row r="23" spans="1:18">
      <c r="A23" s="66">
        <v>21</v>
      </c>
      <c r="B23" s="66"/>
      <c r="C23" s="57"/>
      <c r="D23" s="57"/>
      <c r="E23" s="58"/>
      <c r="F23" s="57"/>
      <c r="G23" s="57"/>
      <c r="H23" s="57"/>
      <c r="I23" s="59"/>
      <c r="J23" s="59">
        <f t="shared" si="1"/>
        <v>0</v>
      </c>
      <c r="K23" s="59"/>
      <c r="L23" s="59"/>
      <c r="M23" s="69">
        <f t="shared" si="0"/>
        <v>0</v>
      </c>
      <c r="N23" s="57"/>
      <c r="O23" s="58"/>
      <c r="P23" s="57"/>
      <c r="Q23" s="57"/>
      <c r="R23" s="57"/>
    </row>
    <row r="24" spans="1:18">
      <c r="A24" s="67">
        <v>22</v>
      </c>
      <c r="B24" s="67"/>
      <c r="C24" s="60"/>
      <c r="D24" s="60"/>
      <c r="E24" s="61"/>
      <c r="F24" s="60"/>
      <c r="G24" s="60"/>
      <c r="H24" s="60"/>
      <c r="I24" s="62"/>
      <c r="J24" s="59">
        <f t="shared" si="1"/>
        <v>0</v>
      </c>
      <c r="K24" s="62"/>
      <c r="L24" s="62"/>
      <c r="M24" s="69">
        <f t="shared" si="0"/>
        <v>0</v>
      </c>
      <c r="N24" s="60"/>
      <c r="O24" s="61"/>
      <c r="P24" s="60"/>
      <c r="Q24" s="60"/>
      <c r="R24" s="60"/>
    </row>
    <row r="25" spans="1:18">
      <c r="A25" s="66">
        <v>23</v>
      </c>
      <c r="B25" s="66"/>
      <c r="C25" s="57"/>
      <c r="D25" s="57"/>
      <c r="E25" s="58"/>
      <c r="F25" s="57"/>
      <c r="G25" s="57"/>
      <c r="H25" s="57"/>
      <c r="I25" s="59"/>
      <c r="J25" s="59">
        <f t="shared" si="1"/>
        <v>0</v>
      </c>
      <c r="K25" s="59"/>
      <c r="L25" s="59"/>
      <c r="M25" s="69">
        <f t="shared" si="0"/>
        <v>0</v>
      </c>
      <c r="N25" s="57"/>
      <c r="O25" s="58"/>
      <c r="P25" s="57"/>
      <c r="Q25" s="57"/>
      <c r="R25" s="57"/>
    </row>
    <row r="26" spans="1:18">
      <c r="A26" s="67">
        <v>24</v>
      </c>
      <c r="B26" s="67"/>
      <c r="C26" s="60"/>
      <c r="D26" s="60"/>
      <c r="E26" s="61"/>
      <c r="F26" s="60"/>
      <c r="G26" s="60"/>
      <c r="H26" s="60"/>
      <c r="I26" s="62"/>
      <c r="J26" s="59">
        <f t="shared" si="1"/>
        <v>0</v>
      </c>
      <c r="K26" s="62"/>
      <c r="L26" s="62"/>
      <c r="M26" s="69">
        <f t="shared" si="0"/>
        <v>0</v>
      </c>
      <c r="N26" s="60"/>
      <c r="O26" s="61"/>
      <c r="P26" s="60"/>
      <c r="Q26" s="60"/>
      <c r="R26" s="60"/>
    </row>
    <row r="27" spans="1:18">
      <c r="A27" s="66">
        <v>25</v>
      </c>
      <c r="B27" s="66"/>
      <c r="C27" s="57"/>
      <c r="D27" s="57"/>
      <c r="E27" s="58"/>
      <c r="F27" s="57"/>
      <c r="G27" s="57"/>
      <c r="H27" s="57"/>
      <c r="I27" s="59"/>
      <c r="J27" s="59">
        <f t="shared" si="1"/>
        <v>0</v>
      </c>
      <c r="K27" s="59"/>
      <c r="L27" s="59"/>
      <c r="M27" s="69">
        <f t="shared" si="0"/>
        <v>0</v>
      </c>
      <c r="N27" s="57"/>
      <c r="O27" s="58"/>
      <c r="P27" s="57"/>
      <c r="Q27" s="57"/>
      <c r="R27" s="57"/>
    </row>
    <row r="28" spans="1:18">
      <c r="A28" s="67">
        <v>26</v>
      </c>
      <c r="B28" s="67"/>
      <c r="C28" s="60"/>
      <c r="D28" s="60"/>
      <c r="E28" s="61"/>
      <c r="F28" s="60"/>
      <c r="G28" s="60"/>
      <c r="H28" s="60"/>
      <c r="I28" s="62"/>
      <c r="J28" s="59">
        <f t="shared" si="1"/>
        <v>0</v>
      </c>
      <c r="K28" s="62"/>
      <c r="L28" s="62"/>
      <c r="M28" s="69">
        <f t="shared" si="0"/>
        <v>0</v>
      </c>
      <c r="N28" s="60"/>
      <c r="O28" s="61"/>
      <c r="P28" s="60"/>
      <c r="Q28" s="60"/>
      <c r="R28" s="60"/>
    </row>
    <row r="29" spans="1:18">
      <c r="A29" s="66">
        <v>27</v>
      </c>
      <c r="B29" s="66"/>
      <c r="C29" s="57"/>
      <c r="D29" s="57"/>
      <c r="E29" s="58"/>
      <c r="F29" s="57"/>
      <c r="G29" s="57"/>
      <c r="H29" s="57"/>
      <c r="I29" s="59"/>
      <c r="J29" s="59">
        <f t="shared" si="1"/>
        <v>0</v>
      </c>
      <c r="K29" s="59"/>
      <c r="L29" s="59"/>
      <c r="M29" s="69">
        <f t="shared" si="0"/>
        <v>0</v>
      </c>
      <c r="N29" s="57"/>
      <c r="O29" s="58"/>
      <c r="P29" s="57"/>
      <c r="Q29" s="57"/>
      <c r="R29" s="57"/>
    </row>
    <row r="30" spans="1:18">
      <c r="A30" s="67">
        <v>28</v>
      </c>
      <c r="B30" s="67"/>
      <c r="C30" s="60"/>
      <c r="D30" s="60"/>
      <c r="E30" s="61"/>
      <c r="F30" s="60"/>
      <c r="G30" s="60"/>
      <c r="H30" s="60"/>
      <c r="I30" s="62"/>
      <c r="J30" s="59">
        <f t="shared" si="1"/>
        <v>0</v>
      </c>
      <c r="K30" s="62"/>
      <c r="L30" s="62"/>
      <c r="M30" s="69">
        <f t="shared" si="0"/>
        <v>0</v>
      </c>
      <c r="N30" s="60"/>
      <c r="O30" s="61"/>
      <c r="P30" s="60"/>
      <c r="Q30" s="60"/>
      <c r="R30" s="60"/>
    </row>
    <row r="31" spans="1:18">
      <c r="A31" s="66">
        <v>29</v>
      </c>
      <c r="B31" s="66"/>
      <c r="C31" s="57"/>
      <c r="D31" s="57"/>
      <c r="E31" s="58"/>
      <c r="F31" s="57"/>
      <c r="G31" s="57"/>
      <c r="H31" s="57"/>
      <c r="I31" s="59"/>
      <c r="J31" s="59">
        <f t="shared" si="1"/>
        <v>0</v>
      </c>
      <c r="K31" s="59"/>
      <c r="L31" s="59"/>
      <c r="M31" s="69">
        <f t="shared" si="0"/>
        <v>0</v>
      </c>
      <c r="N31" s="57"/>
      <c r="O31" s="58"/>
      <c r="P31" s="57"/>
      <c r="Q31" s="57"/>
      <c r="R31" s="57"/>
    </row>
    <row r="32" spans="1:18">
      <c r="A32" s="67">
        <v>30</v>
      </c>
      <c r="B32" s="67"/>
      <c r="C32" s="60"/>
      <c r="D32" s="60"/>
      <c r="E32" s="61"/>
      <c r="F32" s="60"/>
      <c r="G32" s="60"/>
      <c r="H32" s="60"/>
      <c r="I32" s="62"/>
      <c r="J32" s="59">
        <f t="shared" si="1"/>
        <v>0</v>
      </c>
      <c r="K32" s="62"/>
      <c r="L32" s="62"/>
      <c r="M32" s="69">
        <f t="shared" si="0"/>
        <v>0</v>
      </c>
      <c r="N32" s="60"/>
      <c r="O32" s="61"/>
      <c r="P32" s="60"/>
      <c r="Q32" s="60"/>
      <c r="R32" s="60"/>
    </row>
    <row r="33" spans="1:18">
      <c r="A33" s="66">
        <v>31</v>
      </c>
      <c r="B33" s="66"/>
      <c r="C33" s="57"/>
      <c r="D33" s="57"/>
      <c r="E33" s="58"/>
      <c r="F33" s="57"/>
      <c r="G33" s="57"/>
      <c r="H33" s="57"/>
      <c r="I33" s="59"/>
      <c r="J33" s="59">
        <f t="shared" si="1"/>
        <v>0</v>
      </c>
      <c r="K33" s="59"/>
      <c r="L33" s="59"/>
      <c r="M33" s="69">
        <f t="shared" si="0"/>
        <v>0</v>
      </c>
      <c r="N33" s="57"/>
      <c r="O33" s="58"/>
      <c r="P33" s="57"/>
      <c r="Q33" s="57"/>
      <c r="R33" s="57"/>
    </row>
    <row r="34" spans="1:18">
      <c r="A34" s="67">
        <v>32</v>
      </c>
      <c r="B34" s="67"/>
      <c r="C34" s="60"/>
      <c r="D34" s="60"/>
      <c r="E34" s="61"/>
      <c r="F34" s="60"/>
      <c r="G34" s="60"/>
      <c r="H34" s="60"/>
      <c r="I34" s="62"/>
      <c r="J34" s="59">
        <f t="shared" si="1"/>
        <v>0</v>
      </c>
      <c r="K34" s="62"/>
      <c r="L34" s="62"/>
      <c r="M34" s="69">
        <f t="shared" si="0"/>
        <v>0</v>
      </c>
      <c r="N34" s="60"/>
      <c r="O34" s="61"/>
      <c r="P34" s="60"/>
      <c r="Q34" s="60"/>
      <c r="R34" s="60"/>
    </row>
    <row r="35" spans="1:18">
      <c r="A35" s="66">
        <v>33</v>
      </c>
      <c r="B35" s="66"/>
      <c r="C35" s="57"/>
      <c r="D35" s="57"/>
      <c r="E35" s="58"/>
      <c r="F35" s="57"/>
      <c r="G35" s="57"/>
      <c r="H35" s="57"/>
      <c r="I35" s="59"/>
      <c r="J35" s="59">
        <f t="shared" si="1"/>
        <v>0</v>
      </c>
      <c r="K35" s="59"/>
      <c r="L35" s="59"/>
      <c r="M35" s="69">
        <f t="shared" si="0"/>
        <v>0</v>
      </c>
      <c r="N35" s="57"/>
      <c r="O35" s="58"/>
      <c r="P35" s="57"/>
      <c r="Q35" s="57"/>
      <c r="R35" s="57"/>
    </row>
    <row r="36" spans="1:18">
      <c r="A36" s="67">
        <v>34</v>
      </c>
      <c r="B36" s="67"/>
      <c r="C36" s="60"/>
      <c r="D36" s="60"/>
      <c r="E36" s="61"/>
      <c r="F36" s="60"/>
      <c r="G36" s="60"/>
      <c r="H36" s="60"/>
      <c r="I36" s="62"/>
      <c r="J36" s="59">
        <f t="shared" si="1"/>
        <v>0</v>
      </c>
      <c r="K36" s="62"/>
      <c r="L36" s="62"/>
      <c r="M36" s="69">
        <f t="shared" si="0"/>
        <v>0</v>
      </c>
      <c r="N36" s="60"/>
      <c r="O36" s="61"/>
      <c r="P36" s="60"/>
      <c r="Q36" s="60"/>
      <c r="R36" s="60"/>
    </row>
    <row r="37" spans="1:18">
      <c r="A37" s="66">
        <v>35</v>
      </c>
      <c r="B37" s="66"/>
      <c r="C37" s="57"/>
      <c r="D37" s="57"/>
      <c r="E37" s="58"/>
      <c r="F37" s="57"/>
      <c r="G37" s="57"/>
      <c r="H37" s="57"/>
      <c r="I37" s="59"/>
      <c r="J37" s="59">
        <f t="shared" si="1"/>
        <v>0</v>
      </c>
      <c r="K37" s="59"/>
      <c r="L37" s="59"/>
      <c r="M37" s="69">
        <f t="shared" si="0"/>
        <v>0</v>
      </c>
      <c r="N37" s="57"/>
      <c r="O37" s="58"/>
      <c r="P37" s="57"/>
      <c r="Q37" s="57"/>
      <c r="R37" s="57"/>
    </row>
    <row r="38" spans="1:18">
      <c r="A38" s="67">
        <v>36</v>
      </c>
      <c r="B38" s="67"/>
      <c r="C38" s="60"/>
      <c r="D38" s="60"/>
      <c r="E38" s="61"/>
      <c r="F38" s="60"/>
      <c r="G38" s="60"/>
      <c r="H38" s="60"/>
      <c r="I38" s="62"/>
      <c r="J38" s="59">
        <f t="shared" si="1"/>
        <v>0</v>
      </c>
      <c r="K38" s="62"/>
      <c r="L38" s="62"/>
      <c r="M38" s="69">
        <f t="shared" si="0"/>
        <v>0</v>
      </c>
      <c r="N38" s="60"/>
      <c r="O38" s="61"/>
      <c r="P38" s="60"/>
      <c r="Q38" s="60"/>
      <c r="R38" s="60"/>
    </row>
    <row r="39" spans="1:18">
      <c r="A39" s="66">
        <v>37</v>
      </c>
      <c r="B39" s="66"/>
      <c r="C39" s="57"/>
      <c r="D39" s="57"/>
      <c r="E39" s="58"/>
      <c r="F39" s="57"/>
      <c r="G39" s="57"/>
      <c r="H39" s="57"/>
      <c r="I39" s="59"/>
      <c r="J39" s="59">
        <f t="shared" si="1"/>
        <v>0</v>
      </c>
      <c r="K39" s="59"/>
      <c r="L39" s="59"/>
      <c r="M39" s="69">
        <f t="shared" si="0"/>
        <v>0</v>
      </c>
      <c r="N39" s="57"/>
      <c r="O39" s="58"/>
      <c r="P39" s="57"/>
      <c r="Q39" s="57"/>
      <c r="R39" s="57"/>
    </row>
    <row r="40" spans="1:18">
      <c r="A40" s="67">
        <v>38</v>
      </c>
      <c r="B40" s="67"/>
      <c r="C40" s="60"/>
      <c r="D40" s="60"/>
      <c r="E40" s="61"/>
      <c r="F40" s="60"/>
      <c r="G40" s="60"/>
      <c r="H40" s="60"/>
      <c r="I40" s="62"/>
      <c r="J40" s="59">
        <f t="shared" si="1"/>
        <v>0</v>
      </c>
      <c r="K40" s="62"/>
      <c r="L40" s="62"/>
      <c r="M40" s="69">
        <f t="shared" si="0"/>
        <v>0</v>
      </c>
      <c r="N40" s="60"/>
      <c r="O40" s="61"/>
      <c r="P40" s="60"/>
      <c r="Q40" s="60"/>
      <c r="R40" s="60"/>
    </row>
    <row r="41" spans="1:18">
      <c r="A41" s="66">
        <v>39</v>
      </c>
      <c r="B41" s="66"/>
      <c r="C41" s="57"/>
      <c r="D41" s="57"/>
      <c r="E41" s="58"/>
      <c r="F41" s="57"/>
      <c r="G41" s="57"/>
      <c r="H41" s="57"/>
      <c r="I41" s="59"/>
      <c r="J41" s="59">
        <f t="shared" si="1"/>
        <v>0</v>
      </c>
      <c r="K41" s="59"/>
      <c r="L41" s="59"/>
      <c r="M41" s="69">
        <f t="shared" si="0"/>
        <v>0</v>
      </c>
      <c r="N41" s="57"/>
      <c r="O41" s="58"/>
      <c r="P41" s="57"/>
      <c r="Q41" s="57"/>
      <c r="R41" s="57"/>
    </row>
    <row r="42" spans="1:18">
      <c r="A42" s="67">
        <v>40</v>
      </c>
      <c r="B42" s="67"/>
      <c r="C42" s="60"/>
      <c r="D42" s="60"/>
      <c r="E42" s="61"/>
      <c r="F42" s="60"/>
      <c r="G42" s="60"/>
      <c r="H42" s="60"/>
      <c r="I42" s="62"/>
      <c r="J42" s="59">
        <f t="shared" si="1"/>
        <v>0</v>
      </c>
      <c r="K42" s="62"/>
      <c r="L42" s="62"/>
      <c r="M42" s="69">
        <f t="shared" si="0"/>
        <v>0</v>
      </c>
      <c r="N42" s="60"/>
      <c r="O42" s="61"/>
      <c r="P42" s="60"/>
      <c r="Q42" s="60"/>
      <c r="R42" s="60"/>
    </row>
    <row r="43" spans="1:18">
      <c r="A43" s="66">
        <v>41</v>
      </c>
      <c r="B43" s="66"/>
      <c r="C43" s="57"/>
      <c r="D43" s="57"/>
      <c r="E43" s="58"/>
      <c r="F43" s="57"/>
      <c r="G43" s="57"/>
      <c r="H43" s="57"/>
      <c r="I43" s="59"/>
      <c r="J43" s="59">
        <f t="shared" si="1"/>
        <v>0</v>
      </c>
      <c r="K43" s="59"/>
      <c r="L43" s="59"/>
      <c r="M43" s="69">
        <f t="shared" si="0"/>
        <v>0</v>
      </c>
      <c r="N43" s="57"/>
      <c r="O43" s="58"/>
      <c r="P43" s="57"/>
      <c r="Q43" s="57"/>
      <c r="R43" s="57"/>
    </row>
    <row r="44" spans="1:18">
      <c r="A44" s="67">
        <v>42</v>
      </c>
      <c r="B44" s="67"/>
      <c r="C44" s="60"/>
      <c r="D44" s="60"/>
      <c r="E44" s="61"/>
      <c r="F44" s="60"/>
      <c r="G44" s="60"/>
      <c r="H44" s="60"/>
      <c r="I44" s="62"/>
      <c r="J44" s="59">
        <f t="shared" si="1"/>
        <v>0</v>
      </c>
      <c r="K44" s="62"/>
      <c r="L44" s="62"/>
      <c r="M44" s="69">
        <f t="shared" si="0"/>
        <v>0</v>
      </c>
      <c r="N44" s="60"/>
      <c r="O44" s="61"/>
      <c r="P44" s="60"/>
      <c r="Q44" s="60"/>
      <c r="R44" s="60"/>
    </row>
    <row r="45" spans="1:18">
      <c r="A45" s="66">
        <v>43</v>
      </c>
      <c r="B45" s="66"/>
      <c r="C45" s="57"/>
      <c r="D45" s="57"/>
      <c r="E45" s="58"/>
      <c r="F45" s="57"/>
      <c r="G45" s="57"/>
      <c r="H45" s="57"/>
      <c r="I45" s="59"/>
      <c r="J45" s="59">
        <f t="shared" si="1"/>
        <v>0</v>
      </c>
      <c r="K45" s="59"/>
      <c r="L45" s="59"/>
      <c r="M45" s="69">
        <f t="shared" si="0"/>
        <v>0</v>
      </c>
      <c r="N45" s="57"/>
      <c r="O45" s="58"/>
      <c r="P45" s="57"/>
      <c r="Q45" s="57"/>
      <c r="R45" s="57"/>
    </row>
    <row r="46" spans="1:18">
      <c r="A46" s="67">
        <v>44</v>
      </c>
      <c r="B46" s="67"/>
      <c r="C46" s="60"/>
      <c r="D46" s="60"/>
      <c r="E46" s="61"/>
      <c r="F46" s="60"/>
      <c r="G46" s="60"/>
      <c r="H46" s="60"/>
      <c r="I46" s="62"/>
      <c r="J46" s="59">
        <f t="shared" si="1"/>
        <v>0</v>
      </c>
      <c r="K46" s="62"/>
      <c r="L46" s="62"/>
      <c r="M46" s="69">
        <f t="shared" si="0"/>
        <v>0</v>
      </c>
      <c r="N46" s="60"/>
      <c r="O46" s="61"/>
      <c r="P46" s="60"/>
      <c r="Q46" s="60"/>
      <c r="R46" s="60"/>
    </row>
    <row r="47" spans="1:18">
      <c r="A47" s="66">
        <v>45</v>
      </c>
      <c r="B47" s="66"/>
      <c r="C47" s="57"/>
      <c r="D47" s="57"/>
      <c r="E47" s="58"/>
      <c r="F47" s="57"/>
      <c r="G47" s="57"/>
      <c r="H47" s="57"/>
      <c r="I47" s="59"/>
      <c r="J47" s="59">
        <f t="shared" si="1"/>
        <v>0</v>
      </c>
      <c r="K47" s="59"/>
      <c r="L47" s="59"/>
      <c r="M47" s="69">
        <f t="shared" si="0"/>
        <v>0</v>
      </c>
      <c r="N47" s="57"/>
      <c r="O47" s="58"/>
      <c r="P47" s="57"/>
      <c r="Q47" s="57"/>
      <c r="R47" s="57"/>
    </row>
    <row r="48" spans="1:18">
      <c r="A48" s="67">
        <v>46</v>
      </c>
      <c r="B48" s="67"/>
      <c r="C48" s="60"/>
      <c r="D48" s="60"/>
      <c r="E48" s="61"/>
      <c r="F48" s="60"/>
      <c r="G48" s="60"/>
      <c r="H48" s="60"/>
      <c r="I48" s="62"/>
      <c r="J48" s="59">
        <f t="shared" si="1"/>
        <v>0</v>
      </c>
      <c r="K48" s="62"/>
      <c r="L48" s="62"/>
      <c r="M48" s="69">
        <f t="shared" si="0"/>
        <v>0</v>
      </c>
      <c r="N48" s="60"/>
      <c r="O48" s="61"/>
      <c r="P48" s="60"/>
      <c r="Q48" s="60"/>
      <c r="R48" s="60"/>
    </row>
    <row r="49" spans="1:18">
      <c r="A49" s="66">
        <v>47</v>
      </c>
      <c r="B49" s="66"/>
      <c r="C49" s="57"/>
      <c r="D49" s="57"/>
      <c r="E49" s="58"/>
      <c r="F49" s="57"/>
      <c r="G49" s="57"/>
      <c r="H49" s="57"/>
      <c r="I49" s="59"/>
      <c r="J49" s="59">
        <f t="shared" si="1"/>
        <v>0</v>
      </c>
      <c r="K49" s="59"/>
      <c r="L49" s="59"/>
      <c r="M49" s="69">
        <f t="shared" si="0"/>
        <v>0</v>
      </c>
      <c r="N49" s="57"/>
      <c r="O49" s="58"/>
      <c r="P49" s="57"/>
      <c r="Q49" s="57"/>
      <c r="R49" s="57"/>
    </row>
    <row r="50" spans="1:18">
      <c r="A50" s="67">
        <v>48</v>
      </c>
      <c r="B50" s="67"/>
      <c r="C50" s="60"/>
      <c r="D50" s="60"/>
      <c r="E50" s="61"/>
      <c r="F50" s="60"/>
      <c r="G50" s="60"/>
      <c r="H50" s="60"/>
      <c r="I50" s="62"/>
      <c r="J50" s="59">
        <f t="shared" si="1"/>
        <v>0</v>
      </c>
      <c r="K50" s="62"/>
      <c r="L50" s="62"/>
      <c r="M50" s="69">
        <f t="shared" si="0"/>
        <v>0</v>
      </c>
      <c r="N50" s="60"/>
      <c r="O50" s="61"/>
      <c r="P50" s="60"/>
      <c r="Q50" s="60"/>
      <c r="R50" s="60"/>
    </row>
    <row r="51" spans="1:18">
      <c r="A51" s="66">
        <v>49</v>
      </c>
      <c r="B51" s="66"/>
      <c r="C51" s="57"/>
      <c r="D51" s="57"/>
      <c r="E51" s="58"/>
      <c r="F51" s="57"/>
      <c r="G51" s="57"/>
      <c r="H51" s="57"/>
      <c r="I51" s="59"/>
      <c r="J51" s="59">
        <f t="shared" si="1"/>
        <v>0</v>
      </c>
      <c r="K51" s="59"/>
      <c r="L51" s="59"/>
      <c r="M51" s="69">
        <f t="shared" si="0"/>
        <v>0</v>
      </c>
      <c r="N51" s="57"/>
      <c r="O51" s="58"/>
      <c r="P51" s="57"/>
      <c r="Q51" s="57"/>
      <c r="R51" s="57"/>
    </row>
    <row r="52" spans="1:18">
      <c r="A52" s="67">
        <v>50</v>
      </c>
      <c r="B52" s="67"/>
      <c r="C52" s="60"/>
      <c r="D52" s="60"/>
      <c r="E52" s="61"/>
      <c r="F52" s="60"/>
      <c r="G52" s="60"/>
      <c r="H52" s="60"/>
      <c r="I52" s="62"/>
      <c r="J52" s="59">
        <f t="shared" si="1"/>
        <v>0</v>
      </c>
      <c r="K52" s="62"/>
      <c r="L52" s="62"/>
      <c r="M52" s="69">
        <f t="shared" si="0"/>
        <v>0</v>
      </c>
      <c r="N52" s="60"/>
      <c r="O52" s="61"/>
      <c r="P52" s="60"/>
      <c r="Q52" s="60"/>
      <c r="R52" s="60"/>
    </row>
    <row r="53" spans="1:18">
      <c r="A53" s="66">
        <v>51</v>
      </c>
      <c r="B53" s="66"/>
      <c r="C53" s="57"/>
      <c r="D53" s="57"/>
      <c r="E53" s="58"/>
      <c r="F53" s="57"/>
      <c r="G53" s="57"/>
      <c r="H53" s="57"/>
      <c r="I53" s="59"/>
      <c r="J53" s="59">
        <f t="shared" si="1"/>
        <v>0</v>
      </c>
      <c r="K53" s="59"/>
      <c r="L53" s="59"/>
      <c r="M53" s="69">
        <f t="shared" si="0"/>
        <v>0</v>
      </c>
      <c r="N53" s="57"/>
      <c r="O53" s="58"/>
      <c r="P53" s="57"/>
      <c r="Q53" s="57"/>
      <c r="R53" s="57"/>
    </row>
    <row r="54" spans="1:18">
      <c r="A54" s="67">
        <v>52</v>
      </c>
      <c r="B54" s="67"/>
      <c r="C54" s="60"/>
      <c r="D54" s="60"/>
      <c r="E54" s="61"/>
      <c r="F54" s="60"/>
      <c r="G54" s="60"/>
      <c r="H54" s="60"/>
      <c r="I54" s="62"/>
      <c r="J54" s="59">
        <f t="shared" si="1"/>
        <v>0</v>
      </c>
      <c r="K54" s="62"/>
      <c r="L54" s="62"/>
      <c r="M54" s="69">
        <f t="shared" si="0"/>
        <v>0</v>
      </c>
      <c r="N54" s="60"/>
      <c r="O54" s="61"/>
      <c r="P54" s="60"/>
      <c r="Q54" s="60"/>
      <c r="R54" s="60"/>
    </row>
    <row r="55" spans="1:18">
      <c r="A55" s="66">
        <v>53</v>
      </c>
      <c r="B55" s="66"/>
      <c r="C55" s="57"/>
      <c r="D55" s="57"/>
      <c r="E55" s="58"/>
      <c r="F55" s="57"/>
      <c r="G55" s="57"/>
      <c r="H55" s="57"/>
      <c r="I55" s="59"/>
      <c r="J55" s="59">
        <f t="shared" si="1"/>
        <v>0</v>
      </c>
      <c r="K55" s="59"/>
      <c r="L55" s="59"/>
      <c r="M55" s="69">
        <f t="shared" si="0"/>
        <v>0</v>
      </c>
      <c r="N55" s="57"/>
      <c r="O55" s="58"/>
      <c r="P55" s="57"/>
      <c r="Q55" s="57"/>
      <c r="R55" s="57"/>
    </row>
    <row r="56" spans="1:18">
      <c r="A56" s="67">
        <v>54</v>
      </c>
      <c r="B56" s="67"/>
      <c r="C56" s="60"/>
      <c r="D56" s="60"/>
      <c r="E56" s="61"/>
      <c r="F56" s="60"/>
      <c r="G56" s="60"/>
      <c r="H56" s="60"/>
      <c r="I56" s="62"/>
      <c r="J56" s="59">
        <f t="shared" si="1"/>
        <v>0</v>
      </c>
      <c r="K56" s="62"/>
      <c r="L56" s="62"/>
      <c r="M56" s="69">
        <f t="shared" si="0"/>
        <v>0</v>
      </c>
      <c r="N56" s="60"/>
      <c r="O56" s="61"/>
      <c r="P56" s="60"/>
      <c r="Q56" s="60"/>
      <c r="R56" s="60"/>
    </row>
    <row r="57" spans="1:18">
      <c r="A57" s="66">
        <v>55</v>
      </c>
      <c r="B57" s="66"/>
      <c r="C57" s="57"/>
      <c r="D57" s="57"/>
      <c r="E57" s="58"/>
      <c r="F57" s="57"/>
      <c r="G57" s="57"/>
      <c r="H57" s="57"/>
      <c r="I57" s="59"/>
      <c r="J57" s="59">
        <f t="shared" si="1"/>
        <v>0</v>
      </c>
      <c r="K57" s="59"/>
      <c r="L57" s="59"/>
      <c r="M57" s="69">
        <f t="shared" si="0"/>
        <v>0</v>
      </c>
      <c r="N57" s="57"/>
      <c r="O57" s="58"/>
      <c r="P57" s="57"/>
      <c r="Q57" s="57"/>
      <c r="R57" s="57"/>
    </row>
    <row r="58" spans="1:18">
      <c r="A58" s="67">
        <v>56</v>
      </c>
      <c r="B58" s="67"/>
      <c r="C58" s="60"/>
      <c r="D58" s="60"/>
      <c r="E58" s="61"/>
      <c r="F58" s="60"/>
      <c r="G58" s="60"/>
      <c r="H58" s="60"/>
      <c r="I58" s="62"/>
      <c r="J58" s="59">
        <f t="shared" si="1"/>
        <v>0</v>
      </c>
      <c r="K58" s="62"/>
      <c r="L58" s="62"/>
      <c r="M58" s="69">
        <f t="shared" si="0"/>
        <v>0</v>
      </c>
      <c r="N58" s="60"/>
      <c r="O58" s="61"/>
      <c r="P58" s="60"/>
      <c r="Q58" s="60"/>
      <c r="R58" s="60"/>
    </row>
    <row r="59" spans="1:18">
      <c r="A59" s="66">
        <v>57</v>
      </c>
      <c r="B59" s="66"/>
      <c r="C59" s="57"/>
      <c r="D59" s="57"/>
      <c r="E59" s="58"/>
      <c r="F59" s="57"/>
      <c r="G59" s="57"/>
      <c r="H59" s="57"/>
      <c r="I59" s="59"/>
      <c r="J59" s="59">
        <f t="shared" si="1"/>
        <v>0</v>
      </c>
      <c r="K59" s="59"/>
      <c r="L59" s="59"/>
      <c r="M59" s="69">
        <f t="shared" si="0"/>
        <v>0</v>
      </c>
      <c r="N59" s="57"/>
      <c r="O59" s="58"/>
      <c r="P59" s="57"/>
      <c r="Q59" s="57"/>
      <c r="R59" s="57"/>
    </row>
    <row r="60" spans="1:18">
      <c r="A60" s="67">
        <v>58</v>
      </c>
      <c r="B60" s="67"/>
      <c r="C60" s="60"/>
      <c r="D60" s="60"/>
      <c r="E60" s="61"/>
      <c r="F60" s="60"/>
      <c r="G60" s="60"/>
      <c r="H60" s="60"/>
      <c r="I60" s="62"/>
      <c r="J60" s="59">
        <f t="shared" si="1"/>
        <v>0</v>
      </c>
      <c r="K60" s="62"/>
      <c r="L60" s="62"/>
      <c r="M60" s="69">
        <f t="shared" si="0"/>
        <v>0</v>
      </c>
      <c r="N60" s="60"/>
      <c r="O60" s="61"/>
      <c r="P60" s="60"/>
      <c r="Q60" s="60"/>
      <c r="R60" s="60"/>
    </row>
    <row r="61" spans="1:18">
      <c r="A61" s="66">
        <v>59</v>
      </c>
      <c r="B61" s="66"/>
      <c r="C61" s="57"/>
      <c r="D61" s="57"/>
      <c r="E61" s="58"/>
      <c r="F61" s="57"/>
      <c r="G61" s="57"/>
      <c r="H61" s="57"/>
      <c r="I61" s="59"/>
      <c r="J61" s="59">
        <f t="shared" si="1"/>
        <v>0</v>
      </c>
      <c r="K61" s="59"/>
      <c r="L61" s="59"/>
      <c r="M61" s="69">
        <f t="shared" si="0"/>
        <v>0</v>
      </c>
      <c r="N61" s="57"/>
      <c r="O61" s="58"/>
      <c r="P61" s="57"/>
      <c r="Q61" s="57"/>
      <c r="R61" s="57"/>
    </row>
    <row r="62" spans="1:18">
      <c r="A62" s="67">
        <v>60</v>
      </c>
      <c r="B62" s="67"/>
      <c r="C62" s="60"/>
      <c r="D62" s="60"/>
      <c r="E62" s="61"/>
      <c r="F62" s="60"/>
      <c r="G62" s="60"/>
      <c r="H62" s="60"/>
      <c r="I62" s="62"/>
      <c r="J62" s="59">
        <f t="shared" si="1"/>
        <v>0</v>
      </c>
      <c r="K62" s="62"/>
      <c r="L62" s="62"/>
      <c r="M62" s="69">
        <f t="shared" si="0"/>
        <v>0</v>
      </c>
      <c r="N62" s="60"/>
      <c r="O62" s="61"/>
      <c r="P62" s="60"/>
      <c r="Q62" s="60"/>
      <c r="R62" s="60"/>
    </row>
    <row r="63" spans="1:18">
      <c r="A63" s="66">
        <v>61</v>
      </c>
      <c r="B63" s="66"/>
      <c r="C63" s="57"/>
      <c r="D63" s="57"/>
      <c r="E63" s="58"/>
      <c r="F63" s="57"/>
      <c r="G63" s="57"/>
      <c r="H63" s="57"/>
      <c r="I63" s="59"/>
      <c r="J63" s="59">
        <f t="shared" si="1"/>
        <v>0</v>
      </c>
      <c r="K63" s="59"/>
      <c r="L63" s="59"/>
      <c r="M63" s="69">
        <f t="shared" si="0"/>
        <v>0</v>
      </c>
      <c r="N63" s="57"/>
      <c r="O63" s="58"/>
      <c r="P63" s="57"/>
      <c r="Q63" s="57"/>
      <c r="R63" s="57"/>
    </row>
    <row r="64" spans="1:18">
      <c r="A64" s="67">
        <v>62</v>
      </c>
      <c r="B64" s="67"/>
      <c r="C64" s="60"/>
      <c r="D64" s="60"/>
      <c r="E64" s="61"/>
      <c r="F64" s="60"/>
      <c r="G64" s="60"/>
      <c r="H64" s="60"/>
      <c r="I64" s="62"/>
      <c r="J64" s="59">
        <f t="shared" si="1"/>
        <v>0</v>
      </c>
      <c r="K64" s="62"/>
      <c r="L64" s="62"/>
      <c r="M64" s="69">
        <f t="shared" si="0"/>
        <v>0</v>
      </c>
      <c r="N64" s="60"/>
      <c r="O64" s="61"/>
      <c r="P64" s="60"/>
      <c r="Q64" s="60"/>
      <c r="R64" s="60"/>
    </row>
    <row r="65" spans="1:18">
      <c r="A65" s="66">
        <v>63</v>
      </c>
      <c r="B65" s="66"/>
      <c r="C65" s="57"/>
      <c r="D65" s="57"/>
      <c r="E65" s="58"/>
      <c r="F65" s="57"/>
      <c r="G65" s="57"/>
      <c r="H65" s="57"/>
      <c r="I65" s="59"/>
      <c r="J65" s="59">
        <f t="shared" si="1"/>
        <v>0</v>
      </c>
      <c r="K65" s="59"/>
      <c r="L65" s="59"/>
      <c r="M65" s="69">
        <f t="shared" si="0"/>
        <v>0</v>
      </c>
      <c r="N65" s="57"/>
      <c r="O65" s="58"/>
      <c r="P65" s="57"/>
      <c r="Q65" s="57"/>
      <c r="R65" s="57"/>
    </row>
    <row r="66" spans="1:18">
      <c r="A66" s="67">
        <v>64</v>
      </c>
      <c r="B66" s="67"/>
      <c r="C66" s="60"/>
      <c r="D66" s="60"/>
      <c r="E66" s="61"/>
      <c r="F66" s="60"/>
      <c r="G66" s="60"/>
      <c r="H66" s="60"/>
      <c r="I66" s="62"/>
      <c r="J66" s="59">
        <f t="shared" si="1"/>
        <v>0</v>
      </c>
      <c r="K66" s="62"/>
      <c r="L66" s="62"/>
      <c r="M66" s="69">
        <f t="shared" si="0"/>
        <v>0</v>
      </c>
      <c r="N66" s="60"/>
      <c r="O66" s="61"/>
      <c r="P66" s="60"/>
      <c r="Q66" s="60"/>
      <c r="R66" s="60"/>
    </row>
    <row r="67" spans="1:18">
      <c r="A67" s="66">
        <v>65</v>
      </c>
      <c r="B67" s="66"/>
      <c r="C67" s="57"/>
      <c r="D67" s="57"/>
      <c r="E67" s="58"/>
      <c r="F67" s="57"/>
      <c r="G67" s="57"/>
      <c r="H67" s="57"/>
      <c r="I67" s="59"/>
      <c r="J67" s="59">
        <f t="shared" si="1"/>
        <v>0</v>
      </c>
      <c r="K67" s="59"/>
      <c r="L67" s="59"/>
      <c r="M67" s="69">
        <f t="shared" si="0"/>
        <v>0</v>
      </c>
      <c r="N67" s="57"/>
      <c r="O67" s="58"/>
      <c r="P67" s="57"/>
      <c r="Q67" s="57"/>
      <c r="R67" s="57"/>
    </row>
    <row r="68" spans="1:18">
      <c r="A68" s="67">
        <v>66</v>
      </c>
      <c r="B68" s="67"/>
      <c r="C68" s="60"/>
      <c r="D68" s="60"/>
      <c r="E68" s="61"/>
      <c r="F68" s="60"/>
      <c r="G68" s="60"/>
      <c r="H68" s="60"/>
      <c r="I68" s="62"/>
      <c r="J68" s="59">
        <f t="shared" si="1"/>
        <v>0</v>
      </c>
      <c r="K68" s="62"/>
      <c r="L68" s="62"/>
      <c r="M68" s="69">
        <f t="shared" si="0"/>
        <v>0</v>
      </c>
      <c r="N68" s="60"/>
      <c r="O68" s="61"/>
      <c r="P68" s="60"/>
      <c r="Q68" s="60"/>
      <c r="R68" s="60"/>
    </row>
    <row r="69" spans="1:18">
      <c r="A69" s="66">
        <v>67</v>
      </c>
      <c r="B69" s="66"/>
      <c r="C69" s="57"/>
      <c r="D69" s="57"/>
      <c r="E69" s="58"/>
      <c r="F69" s="57"/>
      <c r="G69" s="57"/>
      <c r="H69" s="57"/>
      <c r="I69" s="59"/>
      <c r="J69" s="59">
        <f t="shared" si="1"/>
        <v>0</v>
      </c>
      <c r="K69" s="59"/>
      <c r="L69" s="59"/>
      <c r="M69" s="69">
        <f t="shared" ref="M69:M132" si="2">I69-J69-K69-L69</f>
        <v>0</v>
      </c>
      <c r="N69" s="57"/>
      <c r="O69" s="58"/>
      <c r="P69" s="57"/>
      <c r="Q69" s="57"/>
      <c r="R69" s="57"/>
    </row>
    <row r="70" spans="1:18">
      <c r="A70" s="67">
        <v>68</v>
      </c>
      <c r="B70" s="67"/>
      <c r="C70" s="60"/>
      <c r="D70" s="60"/>
      <c r="E70" s="61"/>
      <c r="F70" s="60"/>
      <c r="G70" s="60"/>
      <c r="H70" s="60"/>
      <c r="I70" s="62"/>
      <c r="J70" s="59">
        <f t="shared" ref="J70:J133" si="3">I70*5%</f>
        <v>0</v>
      </c>
      <c r="K70" s="62"/>
      <c r="L70" s="62"/>
      <c r="M70" s="69">
        <f t="shared" si="2"/>
        <v>0</v>
      </c>
      <c r="N70" s="60"/>
      <c r="O70" s="61"/>
      <c r="P70" s="60"/>
      <c r="Q70" s="60"/>
      <c r="R70" s="60"/>
    </row>
    <row r="71" spans="1:18">
      <c r="A71" s="66">
        <v>69</v>
      </c>
      <c r="B71" s="66"/>
      <c r="C71" s="57"/>
      <c r="D71" s="57"/>
      <c r="E71" s="58"/>
      <c r="F71" s="57"/>
      <c r="G71" s="57"/>
      <c r="H71" s="57"/>
      <c r="I71" s="59"/>
      <c r="J71" s="59">
        <f t="shared" si="3"/>
        <v>0</v>
      </c>
      <c r="K71" s="59"/>
      <c r="L71" s="59"/>
      <c r="M71" s="69">
        <f t="shared" si="2"/>
        <v>0</v>
      </c>
      <c r="N71" s="57"/>
      <c r="O71" s="58"/>
      <c r="P71" s="57"/>
      <c r="Q71" s="57"/>
      <c r="R71" s="57"/>
    </row>
    <row r="72" spans="1:18">
      <c r="A72" s="67">
        <v>70</v>
      </c>
      <c r="B72" s="67"/>
      <c r="C72" s="60"/>
      <c r="D72" s="60"/>
      <c r="E72" s="61"/>
      <c r="F72" s="60"/>
      <c r="G72" s="60"/>
      <c r="H72" s="60"/>
      <c r="I72" s="62"/>
      <c r="J72" s="59">
        <f t="shared" si="3"/>
        <v>0</v>
      </c>
      <c r="K72" s="62"/>
      <c r="L72" s="62"/>
      <c r="M72" s="69">
        <f t="shared" si="2"/>
        <v>0</v>
      </c>
      <c r="N72" s="60"/>
      <c r="O72" s="61"/>
      <c r="P72" s="60"/>
      <c r="Q72" s="60"/>
      <c r="R72" s="60"/>
    </row>
    <row r="73" spans="1:18">
      <c r="A73" s="66">
        <v>71</v>
      </c>
      <c r="B73" s="66"/>
      <c r="C73" s="57"/>
      <c r="D73" s="57"/>
      <c r="E73" s="58"/>
      <c r="F73" s="57"/>
      <c r="G73" s="57"/>
      <c r="H73" s="57"/>
      <c r="I73" s="59"/>
      <c r="J73" s="59">
        <f t="shared" si="3"/>
        <v>0</v>
      </c>
      <c r="K73" s="59"/>
      <c r="L73" s="59"/>
      <c r="M73" s="69">
        <f t="shared" si="2"/>
        <v>0</v>
      </c>
      <c r="N73" s="57"/>
      <c r="O73" s="58"/>
      <c r="P73" s="57"/>
      <c r="Q73" s="57"/>
      <c r="R73" s="57"/>
    </row>
    <row r="74" spans="1:18">
      <c r="A74" s="67">
        <v>72</v>
      </c>
      <c r="B74" s="67"/>
      <c r="C74" s="60"/>
      <c r="D74" s="60"/>
      <c r="E74" s="61"/>
      <c r="F74" s="60"/>
      <c r="G74" s="60"/>
      <c r="H74" s="60"/>
      <c r="I74" s="62"/>
      <c r="J74" s="59">
        <f t="shared" si="3"/>
        <v>0</v>
      </c>
      <c r="K74" s="62"/>
      <c r="L74" s="62"/>
      <c r="M74" s="69">
        <f t="shared" si="2"/>
        <v>0</v>
      </c>
      <c r="N74" s="60"/>
      <c r="O74" s="61"/>
      <c r="P74" s="60"/>
      <c r="Q74" s="60"/>
      <c r="R74" s="60"/>
    </row>
    <row r="75" spans="1:18">
      <c r="A75" s="66">
        <v>73</v>
      </c>
      <c r="B75" s="66"/>
      <c r="C75" s="57"/>
      <c r="D75" s="57"/>
      <c r="E75" s="58"/>
      <c r="F75" s="57"/>
      <c r="G75" s="57"/>
      <c r="H75" s="57"/>
      <c r="I75" s="59"/>
      <c r="J75" s="59">
        <f t="shared" si="3"/>
        <v>0</v>
      </c>
      <c r="K75" s="59"/>
      <c r="L75" s="59"/>
      <c r="M75" s="69">
        <f t="shared" si="2"/>
        <v>0</v>
      </c>
      <c r="N75" s="57"/>
      <c r="O75" s="58"/>
      <c r="P75" s="57"/>
      <c r="Q75" s="57"/>
      <c r="R75" s="57"/>
    </row>
    <row r="76" spans="1:18">
      <c r="A76" s="67">
        <v>74</v>
      </c>
      <c r="B76" s="67"/>
      <c r="C76" s="60"/>
      <c r="D76" s="60"/>
      <c r="E76" s="61"/>
      <c r="F76" s="60"/>
      <c r="G76" s="60"/>
      <c r="H76" s="60"/>
      <c r="I76" s="62"/>
      <c r="J76" s="59">
        <f t="shared" si="3"/>
        <v>0</v>
      </c>
      <c r="K76" s="62"/>
      <c r="L76" s="62"/>
      <c r="M76" s="69">
        <f t="shared" si="2"/>
        <v>0</v>
      </c>
      <c r="N76" s="60"/>
      <c r="O76" s="61"/>
      <c r="P76" s="60"/>
      <c r="Q76" s="60"/>
      <c r="R76" s="60"/>
    </row>
    <row r="77" spans="1:18">
      <c r="A77" s="66">
        <v>75</v>
      </c>
      <c r="B77" s="66"/>
      <c r="C77" s="57"/>
      <c r="D77" s="57"/>
      <c r="E77" s="58"/>
      <c r="F77" s="57"/>
      <c r="G77" s="57"/>
      <c r="H77" s="57"/>
      <c r="I77" s="59"/>
      <c r="J77" s="59">
        <f t="shared" si="3"/>
        <v>0</v>
      </c>
      <c r="K77" s="59"/>
      <c r="L77" s="59"/>
      <c r="M77" s="69">
        <f t="shared" si="2"/>
        <v>0</v>
      </c>
      <c r="N77" s="57"/>
      <c r="O77" s="58"/>
      <c r="P77" s="57"/>
      <c r="Q77" s="57"/>
      <c r="R77" s="57"/>
    </row>
    <row r="78" spans="1:18">
      <c r="A78" s="67">
        <v>76</v>
      </c>
      <c r="B78" s="67"/>
      <c r="C78" s="60"/>
      <c r="D78" s="60"/>
      <c r="E78" s="61"/>
      <c r="F78" s="60"/>
      <c r="G78" s="60"/>
      <c r="H78" s="60"/>
      <c r="I78" s="62"/>
      <c r="J78" s="59">
        <f t="shared" si="3"/>
        <v>0</v>
      </c>
      <c r="K78" s="62"/>
      <c r="L78" s="62"/>
      <c r="M78" s="69">
        <f t="shared" si="2"/>
        <v>0</v>
      </c>
      <c r="N78" s="60"/>
      <c r="O78" s="61"/>
      <c r="P78" s="60"/>
      <c r="Q78" s="60"/>
      <c r="R78" s="60"/>
    </row>
    <row r="79" spans="1:18">
      <c r="A79" s="66">
        <v>77</v>
      </c>
      <c r="B79" s="66"/>
      <c r="C79" s="57"/>
      <c r="D79" s="57"/>
      <c r="E79" s="58"/>
      <c r="F79" s="57"/>
      <c r="G79" s="57"/>
      <c r="H79" s="57"/>
      <c r="I79" s="59"/>
      <c r="J79" s="59">
        <f t="shared" si="3"/>
        <v>0</v>
      </c>
      <c r="K79" s="59"/>
      <c r="L79" s="59"/>
      <c r="M79" s="69">
        <f t="shared" si="2"/>
        <v>0</v>
      </c>
      <c r="N79" s="57"/>
      <c r="O79" s="58"/>
      <c r="P79" s="57"/>
      <c r="Q79" s="57"/>
      <c r="R79" s="57"/>
    </row>
    <row r="80" spans="1:18">
      <c r="A80" s="67">
        <v>78</v>
      </c>
      <c r="B80" s="67"/>
      <c r="C80" s="60"/>
      <c r="D80" s="60"/>
      <c r="E80" s="61"/>
      <c r="F80" s="60"/>
      <c r="G80" s="60"/>
      <c r="H80" s="60"/>
      <c r="I80" s="62"/>
      <c r="J80" s="59">
        <f t="shared" si="3"/>
        <v>0</v>
      </c>
      <c r="K80" s="62"/>
      <c r="L80" s="62"/>
      <c r="M80" s="69">
        <f t="shared" si="2"/>
        <v>0</v>
      </c>
      <c r="N80" s="60"/>
      <c r="O80" s="61"/>
      <c r="P80" s="60"/>
      <c r="Q80" s="60"/>
      <c r="R80" s="60"/>
    </row>
    <row r="81" spans="1:18">
      <c r="A81" s="66">
        <v>79</v>
      </c>
      <c r="B81" s="66"/>
      <c r="C81" s="57"/>
      <c r="D81" s="57"/>
      <c r="E81" s="58"/>
      <c r="F81" s="57"/>
      <c r="G81" s="57"/>
      <c r="H81" s="57"/>
      <c r="I81" s="59"/>
      <c r="J81" s="59">
        <f t="shared" si="3"/>
        <v>0</v>
      </c>
      <c r="K81" s="59"/>
      <c r="L81" s="59"/>
      <c r="M81" s="69">
        <f t="shared" si="2"/>
        <v>0</v>
      </c>
      <c r="N81" s="57"/>
      <c r="O81" s="58"/>
      <c r="P81" s="57"/>
      <c r="Q81" s="57"/>
      <c r="R81" s="57"/>
    </row>
    <row r="82" spans="1:18">
      <c r="A82" s="67">
        <v>80</v>
      </c>
      <c r="B82" s="67"/>
      <c r="C82" s="60"/>
      <c r="D82" s="60"/>
      <c r="E82" s="61"/>
      <c r="F82" s="60"/>
      <c r="G82" s="60"/>
      <c r="H82" s="60"/>
      <c r="I82" s="62"/>
      <c r="J82" s="59">
        <f t="shared" si="3"/>
        <v>0</v>
      </c>
      <c r="K82" s="62"/>
      <c r="L82" s="62"/>
      <c r="M82" s="69">
        <f t="shared" si="2"/>
        <v>0</v>
      </c>
      <c r="N82" s="60"/>
      <c r="O82" s="61"/>
      <c r="P82" s="60"/>
      <c r="Q82" s="60"/>
      <c r="R82" s="60"/>
    </row>
    <row r="83" spans="1:18">
      <c r="A83" s="66">
        <v>81</v>
      </c>
      <c r="B83" s="66"/>
      <c r="C83" s="57"/>
      <c r="D83" s="57"/>
      <c r="E83" s="58"/>
      <c r="F83" s="57"/>
      <c r="G83" s="57"/>
      <c r="H83" s="57"/>
      <c r="I83" s="59"/>
      <c r="J83" s="59">
        <f t="shared" si="3"/>
        <v>0</v>
      </c>
      <c r="K83" s="59"/>
      <c r="L83" s="59"/>
      <c r="M83" s="69">
        <f t="shared" si="2"/>
        <v>0</v>
      </c>
      <c r="N83" s="57"/>
      <c r="O83" s="58"/>
      <c r="P83" s="57"/>
      <c r="Q83" s="57"/>
      <c r="R83" s="57"/>
    </row>
    <row r="84" spans="1:18">
      <c r="A84" s="67">
        <v>82</v>
      </c>
      <c r="B84" s="67"/>
      <c r="C84" s="60"/>
      <c r="D84" s="60"/>
      <c r="E84" s="61"/>
      <c r="F84" s="60"/>
      <c r="G84" s="60"/>
      <c r="H84" s="60"/>
      <c r="I84" s="62"/>
      <c r="J84" s="59">
        <f t="shared" si="3"/>
        <v>0</v>
      </c>
      <c r="K84" s="62"/>
      <c r="L84" s="62"/>
      <c r="M84" s="69">
        <f t="shared" si="2"/>
        <v>0</v>
      </c>
      <c r="N84" s="60"/>
      <c r="O84" s="61"/>
      <c r="P84" s="60"/>
      <c r="Q84" s="60"/>
      <c r="R84" s="60"/>
    </row>
    <row r="85" spans="1:18">
      <c r="A85" s="66">
        <v>83</v>
      </c>
      <c r="B85" s="66"/>
      <c r="C85" s="57"/>
      <c r="D85" s="57"/>
      <c r="E85" s="58"/>
      <c r="F85" s="57"/>
      <c r="G85" s="57"/>
      <c r="H85" s="57"/>
      <c r="I85" s="59"/>
      <c r="J85" s="59">
        <f t="shared" si="3"/>
        <v>0</v>
      </c>
      <c r="K85" s="59"/>
      <c r="L85" s="59"/>
      <c r="M85" s="69">
        <f t="shared" si="2"/>
        <v>0</v>
      </c>
      <c r="N85" s="57"/>
      <c r="O85" s="58"/>
      <c r="P85" s="57"/>
      <c r="Q85" s="57"/>
      <c r="R85" s="57"/>
    </row>
    <row r="86" spans="1:18">
      <c r="A86" s="67">
        <v>84</v>
      </c>
      <c r="B86" s="67"/>
      <c r="C86" s="60"/>
      <c r="D86" s="60"/>
      <c r="E86" s="61"/>
      <c r="F86" s="60"/>
      <c r="G86" s="60"/>
      <c r="H86" s="60"/>
      <c r="I86" s="62"/>
      <c r="J86" s="59">
        <f t="shared" si="3"/>
        <v>0</v>
      </c>
      <c r="K86" s="62"/>
      <c r="L86" s="62"/>
      <c r="M86" s="69">
        <f t="shared" si="2"/>
        <v>0</v>
      </c>
      <c r="N86" s="60"/>
      <c r="O86" s="61"/>
      <c r="P86" s="60"/>
      <c r="Q86" s="60"/>
      <c r="R86" s="60"/>
    </row>
    <row r="87" spans="1:18">
      <c r="A87" s="66">
        <v>85</v>
      </c>
      <c r="B87" s="66"/>
      <c r="C87" s="57"/>
      <c r="D87" s="57"/>
      <c r="E87" s="58"/>
      <c r="F87" s="57"/>
      <c r="G87" s="57"/>
      <c r="H87" s="57"/>
      <c r="I87" s="59"/>
      <c r="J87" s="59">
        <f t="shared" si="3"/>
        <v>0</v>
      </c>
      <c r="K87" s="59"/>
      <c r="L87" s="59"/>
      <c r="M87" s="69">
        <f t="shared" si="2"/>
        <v>0</v>
      </c>
      <c r="N87" s="57"/>
      <c r="O87" s="58"/>
      <c r="P87" s="57"/>
      <c r="Q87" s="57"/>
      <c r="R87" s="57"/>
    </row>
    <row r="88" spans="1:18">
      <c r="A88" s="67">
        <v>86</v>
      </c>
      <c r="B88" s="67"/>
      <c r="C88" s="60"/>
      <c r="D88" s="60"/>
      <c r="E88" s="61"/>
      <c r="F88" s="60"/>
      <c r="G88" s="60"/>
      <c r="H88" s="60"/>
      <c r="I88" s="62"/>
      <c r="J88" s="59">
        <f t="shared" si="3"/>
        <v>0</v>
      </c>
      <c r="K88" s="62"/>
      <c r="L88" s="62"/>
      <c r="M88" s="69">
        <f t="shared" si="2"/>
        <v>0</v>
      </c>
      <c r="N88" s="60"/>
      <c r="O88" s="61"/>
      <c r="P88" s="60"/>
      <c r="Q88" s="60"/>
      <c r="R88" s="60"/>
    </row>
    <row r="89" spans="1:18">
      <c r="A89" s="66">
        <v>87</v>
      </c>
      <c r="B89" s="66"/>
      <c r="C89" s="57"/>
      <c r="D89" s="57"/>
      <c r="E89" s="58"/>
      <c r="F89" s="57"/>
      <c r="G89" s="57"/>
      <c r="H89" s="57"/>
      <c r="I89" s="59"/>
      <c r="J89" s="59">
        <f t="shared" si="3"/>
        <v>0</v>
      </c>
      <c r="K89" s="59"/>
      <c r="L89" s="59"/>
      <c r="M89" s="69">
        <f t="shared" si="2"/>
        <v>0</v>
      </c>
      <c r="N89" s="57"/>
      <c r="O89" s="58"/>
      <c r="P89" s="57"/>
      <c r="Q89" s="57"/>
      <c r="R89" s="57"/>
    </row>
    <row r="90" spans="1:18">
      <c r="A90" s="67">
        <v>88</v>
      </c>
      <c r="B90" s="67"/>
      <c r="C90" s="60"/>
      <c r="D90" s="60"/>
      <c r="E90" s="61"/>
      <c r="F90" s="60"/>
      <c r="G90" s="60"/>
      <c r="H90" s="60"/>
      <c r="I90" s="62"/>
      <c r="J90" s="59">
        <f t="shared" si="3"/>
        <v>0</v>
      </c>
      <c r="K90" s="62"/>
      <c r="L90" s="62"/>
      <c r="M90" s="69">
        <f t="shared" si="2"/>
        <v>0</v>
      </c>
      <c r="N90" s="60"/>
      <c r="O90" s="61"/>
      <c r="P90" s="60"/>
      <c r="Q90" s="60"/>
      <c r="R90" s="60"/>
    </row>
    <row r="91" spans="1:18">
      <c r="A91" s="66">
        <v>89</v>
      </c>
      <c r="B91" s="66"/>
      <c r="C91" s="57"/>
      <c r="D91" s="57"/>
      <c r="E91" s="58"/>
      <c r="F91" s="57"/>
      <c r="G91" s="57"/>
      <c r="H91" s="57"/>
      <c r="I91" s="59"/>
      <c r="J91" s="59">
        <f t="shared" si="3"/>
        <v>0</v>
      </c>
      <c r="K91" s="59"/>
      <c r="L91" s="59"/>
      <c r="M91" s="69">
        <f t="shared" si="2"/>
        <v>0</v>
      </c>
      <c r="N91" s="57"/>
      <c r="O91" s="58"/>
      <c r="P91" s="57"/>
      <c r="Q91" s="57"/>
      <c r="R91" s="57"/>
    </row>
    <row r="92" spans="1:18">
      <c r="A92" s="67">
        <v>90</v>
      </c>
      <c r="B92" s="67"/>
      <c r="C92" s="60"/>
      <c r="D92" s="60"/>
      <c r="E92" s="61"/>
      <c r="F92" s="60"/>
      <c r="G92" s="60"/>
      <c r="H92" s="60"/>
      <c r="I92" s="62"/>
      <c r="J92" s="59">
        <f t="shared" si="3"/>
        <v>0</v>
      </c>
      <c r="K92" s="62"/>
      <c r="L92" s="62"/>
      <c r="M92" s="69">
        <f t="shared" si="2"/>
        <v>0</v>
      </c>
      <c r="N92" s="60"/>
      <c r="O92" s="61"/>
      <c r="P92" s="60"/>
      <c r="Q92" s="60"/>
      <c r="R92" s="60"/>
    </row>
    <row r="93" spans="1:18">
      <c r="A93" s="66">
        <v>91</v>
      </c>
      <c r="B93" s="66"/>
      <c r="C93" s="57"/>
      <c r="D93" s="57"/>
      <c r="E93" s="58"/>
      <c r="F93" s="57"/>
      <c r="G93" s="57"/>
      <c r="H93" s="57"/>
      <c r="I93" s="59"/>
      <c r="J93" s="59">
        <f t="shared" si="3"/>
        <v>0</v>
      </c>
      <c r="K93" s="59"/>
      <c r="L93" s="59"/>
      <c r="M93" s="69">
        <f t="shared" si="2"/>
        <v>0</v>
      </c>
      <c r="N93" s="57"/>
      <c r="O93" s="58"/>
      <c r="P93" s="57"/>
      <c r="Q93" s="57"/>
      <c r="R93" s="57"/>
    </row>
    <row r="94" spans="1:18">
      <c r="A94" s="67">
        <v>92</v>
      </c>
      <c r="B94" s="67"/>
      <c r="C94" s="60"/>
      <c r="D94" s="60"/>
      <c r="E94" s="61"/>
      <c r="F94" s="60"/>
      <c r="G94" s="60"/>
      <c r="H94" s="60"/>
      <c r="I94" s="62"/>
      <c r="J94" s="59">
        <f t="shared" si="3"/>
        <v>0</v>
      </c>
      <c r="K94" s="62"/>
      <c r="L94" s="62"/>
      <c r="M94" s="69">
        <f t="shared" si="2"/>
        <v>0</v>
      </c>
      <c r="N94" s="60"/>
      <c r="O94" s="61"/>
      <c r="P94" s="60"/>
      <c r="Q94" s="60"/>
      <c r="R94" s="60"/>
    </row>
    <row r="95" spans="1:18">
      <c r="A95" s="66">
        <v>93</v>
      </c>
      <c r="B95" s="66"/>
      <c r="C95" s="57"/>
      <c r="D95" s="57"/>
      <c r="E95" s="58"/>
      <c r="F95" s="57"/>
      <c r="G95" s="57"/>
      <c r="H95" s="57"/>
      <c r="I95" s="59"/>
      <c r="J95" s="59">
        <f t="shared" si="3"/>
        <v>0</v>
      </c>
      <c r="K95" s="59"/>
      <c r="L95" s="59"/>
      <c r="M95" s="69">
        <f t="shared" si="2"/>
        <v>0</v>
      </c>
      <c r="N95" s="57"/>
      <c r="O95" s="58"/>
      <c r="P95" s="57"/>
      <c r="Q95" s="57"/>
      <c r="R95" s="57"/>
    </row>
    <row r="96" spans="1:18">
      <c r="A96" s="67">
        <v>94</v>
      </c>
      <c r="B96" s="67"/>
      <c r="C96" s="60"/>
      <c r="D96" s="60"/>
      <c r="E96" s="61"/>
      <c r="F96" s="60"/>
      <c r="G96" s="60"/>
      <c r="H96" s="60"/>
      <c r="I96" s="62"/>
      <c r="J96" s="59">
        <f t="shared" si="3"/>
        <v>0</v>
      </c>
      <c r="K96" s="62"/>
      <c r="L96" s="62"/>
      <c r="M96" s="69">
        <f t="shared" si="2"/>
        <v>0</v>
      </c>
      <c r="N96" s="60"/>
      <c r="O96" s="61"/>
      <c r="P96" s="60"/>
      <c r="Q96" s="60"/>
      <c r="R96" s="60"/>
    </row>
    <row r="97" spans="1:18">
      <c r="A97" s="66">
        <v>95</v>
      </c>
      <c r="B97" s="66"/>
      <c r="C97" s="57"/>
      <c r="D97" s="57"/>
      <c r="E97" s="58"/>
      <c r="F97" s="57"/>
      <c r="G97" s="57"/>
      <c r="H97" s="57"/>
      <c r="I97" s="59"/>
      <c r="J97" s="59">
        <f t="shared" si="3"/>
        <v>0</v>
      </c>
      <c r="K97" s="59"/>
      <c r="L97" s="59"/>
      <c r="M97" s="69">
        <f t="shared" si="2"/>
        <v>0</v>
      </c>
      <c r="N97" s="57"/>
      <c r="O97" s="58"/>
      <c r="P97" s="57"/>
      <c r="Q97" s="57"/>
      <c r="R97" s="57"/>
    </row>
    <row r="98" spans="1:18">
      <c r="A98" s="67">
        <v>96</v>
      </c>
      <c r="B98" s="67"/>
      <c r="C98" s="60"/>
      <c r="D98" s="60"/>
      <c r="E98" s="61"/>
      <c r="F98" s="60"/>
      <c r="G98" s="60"/>
      <c r="H98" s="60"/>
      <c r="I98" s="62"/>
      <c r="J98" s="59">
        <f t="shared" si="3"/>
        <v>0</v>
      </c>
      <c r="K98" s="62"/>
      <c r="L98" s="62"/>
      <c r="M98" s="69">
        <f t="shared" si="2"/>
        <v>0</v>
      </c>
      <c r="N98" s="60"/>
      <c r="O98" s="61"/>
      <c r="P98" s="60"/>
      <c r="Q98" s="60"/>
      <c r="R98" s="60"/>
    </row>
    <row r="99" spans="1:18">
      <c r="A99" s="66">
        <v>97</v>
      </c>
      <c r="B99" s="66"/>
      <c r="C99" s="57"/>
      <c r="D99" s="57"/>
      <c r="E99" s="58"/>
      <c r="F99" s="57"/>
      <c r="G99" s="57"/>
      <c r="H99" s="57"/>
      <c r="I99" s="59"/>
      <c r="J99" s="59">
        <f t="shared" si="3"/>
        <v>0</v>
      </c>
      <c r="K99" s="59"/>
      <c r="L99" s="59"/>
      <c r="M99" s="69">
        <f t="shared" si="2"/>
        <v>0</v>
      </c>
      <c r="N99" s="57"/>
      <c r="O99" s="58"/>
      <c r="P99" s="57"/>
      <c r="Q99" s="57"/>
      <c r="R99" s="57"/>
    </row>
    <row r="100" spans="1:18">
      <c r="A100" s="67">
        <v>98</v>
      </c>
      <c r="B100" s="67"/>
      <c r="C100" s="60"/>
      <c r="D100" s="60"/>
      <c r="E100" s="61"/>
      <c r="F100" s="60"/>
      <c r="G100" s="60"/>
      <c r="H100" s="60"/>
      <c r="I100" s="62"/>
      <c r="J100" s="59">
        <f t="shared" si="3"/>
        <v>0</v>
      </c>
      <c r="K100" s="62"/>
      <c r="L100" s="62"/>
      <c r="M100" s="69">
        <f t="shared" si="2"/>
        <v>0</v>
      </c>
      <c r="N100" s="60"/>
      <c r="O100" s="61"/>
      <c r="P100" s="60"/>
      <c r="Q100" s="60"/>
      <c r="R100" s="60"/>
    </row>
    <row r="101" spans="1:18">
      <c r="A101" s="66">
        <v>99</v>
      </c>
      <c r="B101" s="66"/>
      <c r="C101" s="57"/>
      <c r="D101" s="57"/>
      <c r="E101" s="58"/>
      <c r="F101" s="57"/>
      <c r="G101" s="57"/>
      <c r="H101" s="57"/>
      <c r="I101" s="59"/>
      <c r="J101" s="59">
        <f t="shared" si="3"/>
        <v>0</v>
      </c>
      <c r="K101" s="59"/>
      <c r="L101" s="59"/>
      <c r="M101" s="69">
        <f t="shared" si="2"/>
        <v>0</v>
      </c>
      <c r="N101" s="57"/>
      <c r="O101" s="58"/>
      <c r="P101" s="57"/>
      <c r="Q101" s="57"/>
      <c r="R101" s="57"/>
    </row>
    <row r="102" spans="1:18">
      <c r="A102" s="67">
        <v>100</v>
      </c>
      <c r="B102" s="67"/>
      <c r="C102" s="60"/>
      <c r="D102" s="60"/>
      <c r="E102" s="61"/>
      <c r="F102" s="60"/>
      <c r="G102" s="60"/>
      <c r="H102" s="60"/>
      <c r="I102" s="62"/>
      <c r="J102" s="59">
        <f t="shared" si="3"/>
        <v>0</v>
      </c>
      <c r="K102" s="62"/>
      <c r="L102" s="62"/>
      <c r="M102" s="69">
        <f t="shared" si="2"/>
        <v>0</v>
      </c>
      <c r="N102" s="60"/>
      <c r="O102" s="61"/>
      <c r="P102" s="60"/>
      <c r="Q102" s="60"/>
      <c r="R102" s="60"/>
    </row>
    <row r="103" spans="1:18">
      <c r="A103" s="66">
        <v>101</v>
      </c>
      <c r="B103" s="66"/>
      <c r="C103" s="57"/>
      <c r="D103" s="57"/>
      <c r="E103" s="58"/>
      <c r="F103" s="57"/>
      <c r="G103" s="57"/>
      <c r="H103" s="57"/>
      <c r="I103" s="59"/>
      <c r="J103" s="59">
        <f t="shared" si="3"/>
        <v>0</v>
      </c>
      <c r="K103" s="59"/>
      <c r="L103" s="59"/>
      <c r="M103" s="69">
        <f t="shared" si="2"/>
        <v>0</v>
      </c>
      <c r="N103" s="57"/>
      <c r="O103" s="58"/>
      <c r="P103" s="57"/>
      <c r="Q103" s="57"/>
      <c r="R103" s="57"/>
    </row>
    <row r="104" spans="1:18">
      <c r="A104" s="67">
        <v>102</v>
      </c>
      <c r="B104" s="67"/>
      <c r="C104" s="60"/>
      <c r="D104" s="60"/>
      <c r="E104" s="61"/>
      <c r="F104" s="60"/>
      <c r="G104" s="60"/>
      <c r="H104" s="60"/>
      <c r="I104" s="62"/>
      <c r="J104" s="59">
        <f t="shared" si="3"/>
        <v>0</v>
      </c>
      <c r="K104" s="62"/>
      <c r="L104" s="62"/>
      <c r="M104" s="69">
        <f t="shared" si="2"/>
        <v>0</v>
      </c>
      <c r="N104" s="60"/>
      <c r="O104" s="61"/>
      <c r="P104" s="60"/>
      <c r="Q104" s="60"/>
      <c r="R104" s="60"/>
    </row>
    <row r="105" spans="1:18">
      <c r="A105" s="66">
        <v>103</v>
      </c>
      <c r="B105" s="66"/>
      <c r="C105" s="57"/>
      <c r="D105" s="57"/>
      <c r="E105" s="58"/>
      <c r="F105" s="57"/>
      <c r="G105" s="57"/>
      <c r="H105" s="57"/>
      <c r="I105" s="59"/>
      <c r="J105" s="59">
        <f t="shared" si="3"/>
        <v>0</v>
      </c>
      <c r="K105" s="59"/>
      <c r="L105" s="59"/>
      <c r="M105" s="69">
        <f t="shared" si="2"/>
        <v>0</v>
      </c>
      <c r="N105" s="57"/>
      <c r="O105" s="58"/>
      <c r="P105" s="57"/>
      <c r="Q105" s="57"/>
      <c r="R105" s="57"/>
    </row>
    <row r="106" spans="1:18">
      <c r="A106" s="67">
        <v>104</v>
      </c>
      <c r="B106" s="67"/>
      <c r="C106" s="60"/>
      <c r="D106" s="60"/>
      <c r="E106" s="61"/>
      <c r="F106" s="60"/>
      <c r="G106" s="60"/>
      <c r="H106" s="60"/>
      <c r="I106" s="62"/>
      <c r="J106" s="59">
        <f t="shared" si="3"/>
        <v>0</v>
      </c>
      <c r="K106" s="62"/>
      <c r="L106" s="62"/>
      <c r="M106" s="69">
        <f t="shared" si="2"/>
        <v>0</v>
      </c>
      <c r="N106" s="60"/>
      <c r="O106" s="61"/>
      <c r="P106" s="60"/>
      <c r="Q106" s="60"/>
      <c r="R106" s="60"/>
    </row>
    <row r="107" spans="1:18">
      <c r="A107" s="66">
        <v>105</v>
      </c>
      <c r="B107" s="66"/>
      <c r="C107" s="57"/>
      <c r="D107" s="57"/>
      <c r="E107" s="58"/>
      <c r="F107" s="57"/>
      <c r="G107" s="57"/>
      <c r="H107" s="57"/>
      <c r="I107" s="59"/>
      <c r="J107" s="59">
        <f t="shared" si="3"/>
        <v>0</v>
      </c>
      <c r="K107" s="59"/>
      <c r="L107" s="59"/>
      <c r="M107" s="69">
        <f t="shared" si="2"/>
        <v>0</v>
      </c>
      <c r="N107" s="57"/>
      <c r="O107" s="58"/>
      <c r="P107" s="57"/>
      <c r="Q107" s="57"/>
      <c r="R107" s="57"/>
    </row>
    <row r="108" spans="1:18">
      <c r="A108" s="67">
        <v>106</v>
      </c>
      <c r="B108" s="67"/>
      <c r="C108" s="60"/>
      <c r="D108" s="60"/>
      <c r="E108" s="61"/>
      <c r="F108" s="60"/>
      <c r="G108" s="60"/>
      <c r="H108" s="60"/>
      <c r="I108" s="62"/>
      <c r="J108" s="59">
        <f t="shared" si="3"/>
        <v>0</v>
      </c>
      <c r="K108" s="62"/>
      <c r="L108" s="62"/>
      <c r="M108" s="69">
        <f t="shared" si="2"/>
        <v>0</v>
      </c>
      <c r="N108" s="60"/>
      <c r="O108" s="61"/>
      <c r="P108" s="60"/>
      <c r="Q108" s="60"/>
      <c r="R108" s="60"/>
    </row>
    <row r="109" spans="1:18">
      <c r="A109" s="66">
        <v>107</v>
      </c>
      <c r="B109" s="66"/>
      <c r="C109" s="57"/>
      <c r="D109" s="57"/>
      <c r="E109" s="58"/>
      <c r="F109" s="57"/>
      <c r="G109" s="57"/>
      <c r="H109" s="57"/>
      <c r="I109" s="59"/>
      <c r="J109" s="59">
        <f t="shared" si="3"/>
        <v>0</v>
      </c>
      <c r="K109" s="59"/>
      <c r="L109" s="59"/>
      <c r="M109" s="69">
        <f t="shared" si="2"/>
        <v>0</v>
      </c>
      <c r="N109" s="57"/>
      <c r="O109" s="58"/>
      <c r="P109" s="57"/>
      <c r="Q109" s="57"/>
      <c r="R109" s="57"/>
    </row>
    <row r="110" spans="1:18">
      <c r="A110" s="67">
        <v>108</v>
      </c>
      <c r="B110" s="67"/>
      <c r="C110" s="60"/>
      <c r="D110" s="60"/>
      <c r="E110" s="61"/>
      <c r="F110" s="60"/>
      <c r="G110" s="60"/>
      <c r="H110" s="60"/>
      <c r="I110" s="62"/>
      <c r="J110" s="59">
        <f t="shared" si="3"/>
        <v>0</v>
      </c>
      <c r="K110" s="62"/>
      <c r="L110" s="62"/>
      <c r="M110" s="69">
        <f t="shared" si="2"/>
        <v>0</v>
      </c>
      <c r="N110" s="60"/>
      <c r="O110" s="61"/>
      <c r="P110" s="60"/>
      <c r="Q110" s="60"/>
      <c r="R110" s="60"/>
    </row>
    <row r="111" spans="1:18">
      <c r="A111" s="66">
        <v>109</v>
      </c>
      <c r="B111" s="66"/>
      <c r="C111" s="57"/>
      <c r="D111" s="57"/>
      <c r="E111" s="58"/>
      <c r="F111" s="57"/>
      <c r="G111" s="57"/>
      <c r="H111" s="57"/>
      <c r="I111" s="59"/>
      <c r="J111" s="59">
        <f t="shared" si="3"/>
        <v>0</v>
      </c>
      <c r="K111" s="59"/>
      <c r="L111" s="59"/>
      <c r="M111" s="69">
        <f t="shared" si="2"/>
        <v>0</v>
      </c>
      <c r="N111" s="57"/>
      <c r="O111" s="58"/>
      <c r="P111" s="57"/>
      <c r="Q111" s="57"/>
      <c r="R111" s="57"/>
    </row>
    <row r="112" spans="1:18">
      <c r="A112" s="67">
        <v>110</v>
      </c>
      <c r="B112" s="67"/>
      <c r="C112" s="60"/>
      <c r="D112" s="60"/>
      <c r="E112" s="61"/>
      <c r="F112" s="60"/>
      <c r="G112" s="60"/>
      <c r="H112" s="60"/>
      <c r="I112" s="62"/>
      <c r="J112" s="59">
        <f t="shared" si="3"/>
        <v>0</v>
      </c>
      <c r="K112" s="62"/>
      <c r="L112" s="62"/>
      <c r="M112" s="69">
        <f t="shared" si="2"/>
        <v>0</v>
      </c>
      <c r="N112" s="60"/>
      <c r="O112" s="61"/>
      <c r="P112" s="60"/>
      <c r="Q112" s="60"/>
      <c r="R112" s="60"/>
    </row>
    <row r="113" spans="1:18">
      <c r="A113" s="66">
        <v>111</v>
      </c>
      <c r="B113" s="66"/>
      <c r="C113" s="57"/>
      <c r="D113" s="57"/>
      <c r="E113" s="58"/>
      <c r="F113" s="57"/>
      <c r="G113" s="57"/>
      <c r="H113" s="57"/>
      <c r="I113" s="59"/>
      <c r="J113" s="59">
        <f t="shared" si="3"/>
        <v>0</v>
      </c>
      <c r="K113" s="59"/>
      <c r="L113" s="59"/>
      <c r="M113" s="69">
        <f t="shared" si="2"/>
        <v>0</v>
      </c>
      <c r="N113" s="57"/>
      <c r="O113" s="58"/>
      <c r="P113" s="57"/>
      <c r="Q113" s="57"/>
      <c r="R113" s="57"/>
    </row>
    <row r="114" spans="1:18">
      <c r="A114" s="67">
        <v>112</v>
      </c>
      <c r="B114" s="67"/>
      <c r="C114" s="60"/>
      <c r="D114" s="60"/>
      <c r="E114" s="61"/>
      <c r="F114" s="60"/>
      <c r="G114" s="60"/>
      <c r="H114" s="60"/>
      <c r="I114" s="62"/>
      <c r="J114" s="59">
        <f t="shared" si="3"/>
        <v>0</v>
      </c>
      <c r="K114" s="62"/>
      <c r="L114" s="62"/>
      <c r="M114" s="69">
        <f t="shared" si="2"/>
        <v>0</v>
      </c>
      <c r="N114" s="60"/>
      <c r="O114" s="61"/>
      <c r="P114" s="60"/>
      <c r="Q114" s="60"/>
      <c r="R114" s="60"/>
    </row>
    <row r="115" spans="1:18">
      <c r="A115" s="66">
        <v>113</v>
      </c>
      <c r="B115" s="66"/>
      <c r="C115" s="57"/>
      <c r="D115" s="57"/>
      <c r="E115" s="58"/>
      <c r="F115" s="57"/>
      <c r="G115" s="57"/>
      <c r="H115" s="57"/>
      <c r="I115" s="59"/>
      <c r="J115" s="59">
        <f t="shared" si="3"/>
        <v>0</v>
      </c>
      <c r="K115" s="59"/>
      <c r="L115" s="59"/>
      <c r="M115" s="69">
        <f t="shared" si="2"/>
        <v>0</v>
      </c>
      <c r="N115" s="57"/>
      <c r="O115" s="58"/>
      <c r="P115" s="57"/>
      <c r="Q115" s="57"/>
      <c r="R115" s="57"/>
    </row>
    <row r="116" spans="1:18">
      <c r="A116" s="67">
        <v>114</v>
      </c>
      <c r="B116" s="67"/>
      <c r="C116" s="60"/>
      <c r="D116" s="60"/>
      <c r="E116" s="61"/>
      <c r="F116" s="60"/>
      <c r="G116" s="60"/>
      <c r="H116" s="60"/>
      <c r="I116" s="62"/>
      <c r="J116" s="59">
        <f t="shared" si="3"/>
        <v>0</v>
      </c>
      <c r="K116" s="62"/>
      <c r="L116" s="62"/>
      <c r="M116" s="69">
        <f t="shared" si="2"/>
        <v>0</v>
      </c>
      <c r="N116" s="60"/>
      <c r="O116" s="61"/>
      <c r="P116" s="60"/>
      <c r="Q116" s="60"/>
      <c r="R116" s="60"/>
    </row>
    <row r="117" spans="1:18">
      <c r="A117" s="66">
        <v>115</v>
      </c>
      <c r="B117" s="66"/>
      <c r="C117" s="57"/>
      <c r="D117" s="57"/>
      <c r="E117" s="58"/>
      <c r="F117" s="57"/>
      <c r="G117" s="57"/>
      <c r="H117" s="57"/>
      <c r="I117" s="59"/>
      <c r="J117" s="59">
        <f t="shared" si="3"/>
        <v>0</v>
      </c>
      <c r="K117" s="59"/>
      <c r="L117" s="59"/>
      <c r="M117" s="69">
        <f t="shared" si="2"/>
        <v>0</v>
      </c>
      <c r="N117" s="57"/>
      <c r="O117" s="58"/>
      <c r="P117" s="57"/>
      <c r="Q117" s="57"/>
      <c r="R117" s="57"/>
    </row>
    <row r="118" spans="1:18">
      <c r="A118" s="67">
        <v>116</v>
      </c>
      <c r="B118" s="67"/>
      <c r="C118" s="60"/>
      <c r="D118" s="60"/>
      <c r="E118" s="61"/>
      <c r="F118" s="60"/>
      <c r="G118" s="60"/>
      <c r="H118" s="60"/>
      <c r="I118" s="62"/>
      <c r="J118" s="59">
        <f t="shared" si="3"/>
        <v>0</v>
      </c>
      <c r="K118" s="62"/>
      <c r="L118" s="62"/>
      <c r="M118" s="69">
        <f t="shared" si="2"/>
        <v>0</v>
      </c>
      <c r="N118" s="60"/>
      <c r="O118" s="61"/>
      <c r="P118" s="60"/>
      <c r="Q118" s="60"/>
      <c r="R118" s="60"/>
    </row>
    <row r="119" spans="1:18">
      <c r="A119" s="66">
        <v>117</v>
      </c>
      <c r="B119" s="66"/>
      <c r="C119" s="57"/>
      <c r="D119" s="57"/>
      <c r="E119" s="58"/>
      <c r="F119" s="57"/>
      <c r="G119" s="57"/>
      <c r="H119" s="57"/>
      <c r="I119" s="59"/>
      <c r="J119" s="59">
        <f t="shared" si="3"/>
        <v>0</v>
      </c>
      <c r="K119" s="59"/>
      <c r="L119" s="59"/>
      <c r="M119" s="69">
        <f t="shared" si="2"/>
        <v>0</v>
      </c>
      <c r="N119" s="57"/>
      <c r="O119" s="58"/>
      <c r="P119" s="57"/>
      <c r="Q119" s="57"/>
      <c r="R119" s="57"/>
    </row>
    <row r="120" spans="1:18">
      <c r="A120" s="67">
        <v>118</v>
      </c>
      <c r="B120" s="67"/>
      <c r="C120" s="60"/>
      <c r="D120" s="60"/>
      <c r="E120" s="61"/>
      <c r="F120" s="60"/>
      <c r="G120" s="60"/>
      <c r="H120" s="60"/>
      <c r="I120" s="62"/>
      <c r="J120" s="59">
        <f t="shared" si="3"/>
        <v>0</v>
      </c>
      <c r="K120" s="62"/>
      <c r="L120" s="62"/>
      <c r="M120" s="69">
        <f t="shared" si="2"/>
        <v>0</v>
      </c>
      <c r="N120" s="60"/>
      <c r="O120" s="61"/>
      <c r="P120" s="60"/>
      <c r="Q120" s="60"/>
      <c r="R120" s="60"/>
    </row>
    <row r="121" spans="1:18">
      <c r="A121" s="66">
        <v>119</v>
      </c>
      <c r="B121" s="66"/>
      <c r="C121" s="57"/>
      <c r="D121" s="57"/>
      <c r="E121" s="58"/>
      <c r="F121" s="57"/>
      <c r="G121" s="57"/>
      <c r="H121" s="57"/>
      <c r="I121" s="59"/>
      <c r="J121" s="59">
        <f t="shared" si="3"/>
        <v>0</v>
      </c>
      <c r="K121" s="59"/>
      <c r="L121" s="59"/>
      <c r="M121" s="69">
        <f t="shared" si="2"/>
        <v>0</v>
      </c>
      <c r="N121" s="57"/>
      <c r="O121" s="58"/>
      <c r="P121" s="57"/>
      <c r="Q121" s="57"/>
      <c r="R121" s="57"/>
    </row>
    <row r="122" spans="1:18">
      <c r="A122" s="67">
        <v>120</v>
      </c>
      <c r="B122" s="67"/>
      <c r="C122" s="60"/>
      <c r="D122" s="60"/>
      <c r="E122" s="61"/>
      <c r="F122" s="60"/>
      <c r="G122" s="60"/>
      <c r="H122" s="60"/>
      <c r="I122" s="62"/>
      <c r="J122" s="59">
        <f t="shared" si="3"/>
        <v>0</v>
      </c>
      <c r="K122" s="62"/>
      <c r="L122" s="62"/>
      <c r="M122" s="69">
        <f t="shared" si="2"/>
        <v>0</v>
      </c>
      <c r="N122" s="60"/>
      <c r="O122" s="61"/>
      <c r="P122" s="60"/>
      <c r="Q122" s="60"/>
      <c r="R122" s="60"/>
    </row>
    <row r="123" spans="1:18">
      <c r="A123" s="66">
        <v>121</v>
      </c>
      <c r="B123" s="66"/>
      <c r="C123" s="57"/>
      <c r="D123" s="57"/>
      <c r="E123" s="58"/>
      <c r="F123" s="57"/>
      <c r="G123" s="57"/>
      <c r="H123" s="57"/>
      <c r="I123" s="59"/>
      <c r="J123" s="59">
        <f t="shared" si="3"/>
        <v>0</v>
      </c>
      <c r="K123" s="59"/>
      <c r="L123" s="59"/>
      <c r="M123" s="69">
        <f t="shared" si="2"/>
        <v>0</v>
      </c>
      <c r="N123" s="57"/>
      <c r="O123" s="58"/>
      <c r="P123" s="57"/>
      <c r="Q123" s="57"/>
      <c r="R123" s="57"/>
    </row>
    <row r="124" spans="1:18">
      <c r="A124" s="67">
        <v>122</v>
      </c>
      <c r="B124" s="67"/>
      <c r="C124" s="60"/>
      <c r="D124" s="60"/>
      <c r="E124" s="61"/>
      <c r="F124" s="60"/>
      <c r="G124" s="60"/>
      <c r="H124" s="60"/>
      <c r="I124" s="62"/>
      <c r="J124" s="59">
        <f t="shared" si="3"/>
        <v>0</v>
      </c>
      <c r="K124" s="62"/>
      <c r="L124" s="62"/>
      <c r="M124" s="69">
        <f t="shared" si="2"/>
        <v>0</v>
      </c>
      <c r="N124" s="60"/>
      <c r="O124" s="61"/>
      <c r="P124" s="60"/>
      <c r="Q124" s="60"/>
      <c r="R124" s="60"/>
    </row>
    <row r="125" spans="1:18">
      <c r="A125" s="66">
        <v>123</v>
      </c>
      <c r="B125" s="66"/>
      <c r="C125" s="57"/>
      <c r="D125" s="57"/>
      <c r="E125" s="58"/>
      <c r="F125" s="57"/>
      <c r="G125" s="57"/>
      <c r="H125" s="57"/>
      <c r="I125" s="59"/>
      <c r="J125" s="59">
        <f t="shared" si="3"/>
        <v>0</v>
      </c>
      <c r="K125" s="59"/>
      <c r="L125" s="59"/>
      <c r="M125" s="69">
        <f t="shared" si="2"/>
        <v>0</v>
      </c>
      <c r="N125" s="57"/>
      <c r="O125" s="58"/>
      <c r="P125" s="57"/>
      <c r="Q125" s="57"/>
      <c r="R125" s="57"/>
    </row>
    <row r="126" spans="1:18">
      <c r="A126" s="67">
        <v>124</v>
      </c>
      <c r="B126" s="67"/>
      <c r="C126" s="60"/>
      <c r="D126" s="60"/>
      <c r="E126" s="61"/>
      <c r="F126" s="60"/>
      <c r="G126" s="60"/>
      <c r="H126" s="60"/>
      <c r="I126" s="62"/>
      <c r="J126" s="59">
        <f t="shared" si="3"/>
        <v>0</v>
      </c>
      <c r="K126" s="62"/>
      <c r="L126" s="62"/>
      <c r="M126" s="69">
        <f t="shared" si="2"/>
        <v>0</v>
      </c>
      <c r="N126" s="60"/>
      <c r="O126" s="61"/>
      <c r="P126" s="60"/>
      <c r="Q126" s="60"/>
      <c r="R126" s="60"/>
    </row>
    <row r="127" spans="1:18">
      <c r="A127" s="66">
        <v>125</v>
      </c>
      <c r="B127" s="66"/>
      <c r="C127" s="57"/>
      <c r="D127" s="57"/>
      <c r="E127" s="58"/>
      <c r="F127" s="57"/>
      <c r="G127" s="57"/>
      <c r="H127" s="57"/>
      <c r="I127" s="59"/>
      <c r="J127" s="59">
        <f t="shared" si="3"/>
        <v>0</v>
      </c>
      <c r="K127" s="59"/>
      <c r="L127" s="59"/>
      <c r="M127" s="69">
        <f t="shared" si="2"/>
        <v>0</v>
      </c>
      <c r="N127" s="57"/>
      <c r="O127" s="58"/>
      <c r="P127" s="57"/>
      <c r="Q127" s="57"/>
      <c r="R127" s="57"/>
    </row>
    <row r="128" spans="1:18">
      <c r="A128" s="67">
        <v>126</v>
      </c>
      <c r="B128" s="67"/>
      <c r="C128" s="60"/>
      <c r="D128" s="60"/>
      <c r="E128" s="61"/>
      <c r="F128" s="60"/>
      <c r="G128" s="60"/>
      <c r="H128" s="60"/>
      <c r="I128" s="62"/>
      <c r="J128" s="59">
        <f t="shared" si="3"/>
        <v>0</v>
      </c>
      <c r="K128" s="62"/>
      <c r="L128" s="62"/>
      <c r="M128" s="69">
        <f t="shared" si="2"/>
        <v>0</v>
      </c>
      <c r="N128" s="60"/>
      <c r="O128" s="61"/>
      <c r="P128" s="60"/>
      <c r="Q128" s="60"/>
      <c r="R128" s="60"/>
    </row>
    <row r="129" spans="1:18">
      <c r="A129" s="66">
        <v>127</v>
      </c>
      <c r="B129" s="66"/>
      <c r="C129" s="57"/>
      <c r="D129" s="57"/>
      <c r="E129" s="58"/>
      <c r="F129" s="57"/>
      <c r="G129" s="57"/>
      <c r="H129" s="57"/>
      <c r="I129" s="59"/>
      <c r="J129" s="59">
        <f t="shared" si="3"/>
        <v>0</v>
      </c>
      <c r="K129" s="59"/>
      <c r="L129" s="59"/>
      <c r="M129" s="69">
        <f t="shared" si="2"/>
        <v>0</v>
      </c>
      <c r="N129" s="57"/>
      <c r="O129" s="58"/>
      <c r="P129" s="57"/>
      <c r="Q129" s="57"/>
      <c r="R129" s="57"/>
    </row>
    <row r="130" spans="1:18">
      <c r="A130" s="67">
        <v>128</v>
      </c>
      <c r="B130" s="67"/>
      <c r="C130" s="60"/>
      <c r="D130" s="60"/>
      <c r="E130" s="61"/>
      <c r="F130" s="60"/>
      <c r="G130" s="60"/>
      <c r="H130" s="60"/>
      <c r="I130" s="62"/>
      <c r="J130" s="59">
        <f t="shared" si="3"/>
        <v>0</v>
      </c>
      <c r="K130" s="62"/>
      <c r="L130" s="62"/>
      <c r="M130" s="69">
        <f t="shared" si="2"/>
        <v>0</v>
      </c>
      <c r="N130" s="60"/>
      <c r="O130" s="61"/>
      <c r="P130" s="60"/>
      <c r="Q130" s="60"/>
      <c r="R130" s="60"/>
    </row>
    <row r="131" spans="1:18">
      <c r="A131" s="66">
        <v>129</v>
      </c>
      <c r="B131" s="66"/>
      <c r="C131" s="57"/>
      <c r="D131" s="57"/>
      <c r="E131" s="58"/>
      <c r="F131" s="57"/>
      <c r="G131" s="57"/>
      <c r="H131" s="57"/>
      <c r="I131" s="59"/>
      <c r="J131" s="59">
        <f t="shared" si="3"/>
        <v>0</v>
      </c>
      <c r="K131" s="59"/>
      <c r="L131" s="59"/>
      <c r="M131" s="69">
        <f t="shared" si="2"/>
        <v>0</v>
      </c>
      <c r="N131" s="57"/>
      <c r="O131" s="58"/>
      <c r="P131" s="57"/>
      <c r="Q131" s="57"/>
      <c r="R131" s="57"/>
    </row>
    <row r="132" spans="1:18">
      <c r="A132" s="67">
        <v>130</v>
      </c>
      <c r="B132" s="67"/>
      <c r="C132" s="60"/>
      <c r="D132" s="60"/>
      <c r="E132" s="61"/>
      <c r="F132" s="60"/>
      <c r="G132" s="60"/>
      <c r="H132" s="60"/>
      <c r="I132" s="62"/>
      <c r="J132" s="59">
        <f t="shared" si="3"/>
        <v>0</v>
      </c>
      <c r="K132" s="62"/>
      <c r="L132" s="62"/>
      <c r="M132" s="69">
        <f t="shared" si="2"/>
        <v>0</v>
      </c>
      <c r="N132" s="60"/>
      <c r="O132" s="61"/>
      <c r="P132" s="60"/>
      <c r="Q132" s="60"/>
      <c r="R132" s="60"/>
    </row>
    <row r="133" spans="1:18">
      <c r="A133" s="66">
        <v>131</v>
      </c>
      <c r="B133" s="66"/>
      <c r="C133" s="57"/>
      <c r="D133" s="57"/>
      <c r="E133" s="58"/>
      <c r="F133" s="57"/>
      <c r="G133" s="57"/>
      <c r="H133" s="57"/>
      <c r="I133" s="59"/>
      <c r="J133" s="59">
        <f t="shared" si="3"/>
        <v>0</v>
      </c>
      <c r="K133" s="59"/>
      <c r="L133" s="59"/>
      <c r="M133" s="69">
        <f t="shared" ref="M133:M196" si="4">I133-J133-K133-L133</f>
        <v>0</v>
      </c>
      <c r="N133" s="57"/>
      <c r="O133" s="58"/>
      <c r="P133" s="57"/>
      <c r="Q133" s="57"/>
      <c r="R133" s="57"/>
    </row>
    <row r="134" spans="1:18">
      <c r="A134" s="67">
        <v>132</v>
      </c>
      <c r="B134" s="67"/>
      <c r="C134" s="60"/>
      <c r="D134" s="60"/>
      <c r="E134" s="61"/>
      <c r="F134" s="60"/>
      <c r="G134" s="60"/>
      <c r="H134" s="60"/>
      <c r="I134" s="62"/>
      <c r="J134" s="59">
        <f t="shared" ref="J134:J197" si="5">I134*5%</f>
        <v>0</v>
      </c>
      <c r="K134" s="62"/>
      <c r="L134" s="62"/>
      <c r="M134" s="69">
        <f t="shared" si="4"/>
        <v>0</v>
      </c>
      <c r="N134" s="60"/>
      <c r="O134" s="61"/>
      <c r="P134" s="60"/>
      <c r="Q134" s="60"/>
      <c r="R134" s="60"/>
    </row>
    <row r="135" spans="1:18">
      <c r="A135" s="66">
        <v>133</v>
      </c>
      <c r="B135" s="66"/>
      <c r="C135" s="57"/>
      <c r="D135" s="57"/>
      <c r="E135" s="58"/>
      <c r="F135" s="57"/>
      <c r="G135" s="57"/>
      <c r="H135" s="57"/>
      <c r="I135" s="59"/>
      <c r="J135" s="59">
        <f t="shared" si="5"/>
        <v>0</v>
      </c>
      <c r="K135" s="59"/>
      <c r="L135" s="59"/>
      <c r="M135" s="69">
        <f t="shared" si="4"/>
        <v>0</v>
      </c>
      <c r="N135" s="57"/>
      <c r="O135" s="58"/>
      <c r="P135" s="57"/>
      <c r="Q135" s="57"/>
      <c r="R135" s="57"/>
    </row>
    <row r="136" spans="1:18">
      <c r="A136" s="67">
        <v>134</v>
      </c>
      <c r="B136" s="67"/>
      <c r="C136" s="60"/>
      <c r="D136" s="60"/>
      <c r="E136" s="61"/>
      <c r="F136" s="60"/>
      <c r="G136" s="60"/>
      <c r="H136" s="60"/>
      <c r="I136" s="62"/>
      <c r="J136" s="59">
        <f t="shared" si="5"/>
        <v>0</v>
      </c>
      <c r="K136" s="62"/>
      <c r="L136" s="62"/>
      <c r="M136" s="69">
        <f t="shared" si="4"/>
        <v>0</v>
      </c>
      <c r="N136" s="60"/>
      <c r="O136" s="61"/>
      <c r="P136" s="60"/>
      <c r="Q136" s="60"/>
      <c r="R136" s="60"/>
    </row>
    <row r="137" spans="1:18">
      <c r="A137" s="66">
        <v>135</v>
      </c>
      <c r="B137" s="66"/>
      <c r="C137" s="57"/>
      <c r="D137" s="57"/>
      <c r="E137" s="58"/>
      <c r="F137" s="57"/>
      <c r="G137" s="57"/>
      <c r="H137" s="57"/>
      <c r="I137" s="59"/>
      <c r="J137" s="59">
        <f t="shared" si="5"/>
        <v>0</v>
      </c>
      <c r="K137" s="59"/>
      <c r="L137" s="59"/>
      <c r="M137" s="69">
        <f t="shared" si="4"/>
        <v>0</v>
      </c>
      <c r="N137" s="57"/>
      <c r="O137" s="58"/>
      <c r="P137" s="57"/>
      <c r="Q137" s="57"/>
      <c r="R137" s="57"/>
    </row>
    <row r="138" spans="1:18">
      <c r="A138" s="67">
        <v>136</v>
      </c>
      <c r="B138" s="67"/>
      <c r="C138" s="60"/>
      <c r="D138" s="60"/>
      <c r="E138" s="61"/>
      <c r="F138" s="60"/>
      <c r="G138" s="60"/>
      <c r="H138" s="60"/>
      <c r="I138" s="62"/>
      <c r="J138" s="59">
        <f t="shared" si="5"/>
        <v>0</v>
      </c>
      <c r="K138" s="62"/>
      <c r="L138" s="62"/>
      <c r="M138" s="69">
        <f t="shared" si="4"/>
        <v>0</v>
      </c>
      <c r="N138" s="60"/>
      <c r="O138" s="61"/>
      <c r="P138" s="60"/>
      <c r="Q138" s="60"/>
      <c r="R138" s="60"/>
    </row>
    <row r="139" spans="1:18">
      <c r="A139" s="66">
        <v>137</v>
      </c>
      <c r="B139" s="66"/>
      <c r="C139" s="57"/>
      <c r="D139" s="57"/>
      <c r="E139" s="58"/>
      <c r="F139" s="57"/>
      <c r="G139" s="57"/>
      <c r="H139" s="57"/>
      <c r="I139" s="59"/>
      <c r="J139" s="59">
        <f t="shared" si="5"/>
        <v>0</v>
      </c>
      <c r="K139" s="59"/>
      <c r="L139" s="59"/>
      <c r="M139" s="69">
        <f t="shared" si="4"/>
        <v>0</v>
      </c>
      <c r="N139" s="57"/>
      <c r="O139" s="58"/>
      <c r="P139" s="57"/>
      <c r="Q139" s="57"/>
      <c r="R139" s="57"/>
    </row>
    <row r="140" spans="1:18">
      <c r="A140" s="67">
        <v>138</v>
      </c>
      <c r="B140" s="67"/>
      <c r="C140" s="60"/>
      <c r="D140" s="60"/>
      <c r="E140" s="61"/>
      <c r="F140" s="60"/>
      <c r="G140" s="60"/>
      <c r="H140" s="60"/>
      <c r="I140" s="62"/>
      <c r="J140" s="59">
        <f t="shared" si="5"/>
        <v>0</v>
      </c>
      <c r="K140" s="62"/>
      <c r="L140" s="62"/>
      <c r="M140" s="69">
        <f t="shared" si="4"/>
        <v>0</v>
      </c>
      <c r="N140" s="60"/>
      <c r="O140" s="61"/>
      <c r="P140" s="60"/>
      <c r="Q140" s="60"/>
      <c r="R140" s="60"/>
    </row>
    <row r="141" spans="1:18">
      <c r="A141" s="66">
        <v>139</v>
      </c>
      <c r="B141" s="66"/>
      <c r="C141" s="57"/>
      <c r="D141" s="57"/>
      <c r="E141" s="58"/>
      <c r="F141" s="57"/>
      <c r="G141" s="57"/>
      <c r="H141" s="57"/>
      <c r="I141" s="59"/>
      <c r="J141" s="59">
        <f t="shared" si="5"/>
        <v>0</v>
      </c>
      <c r="K141" s="59"/>
      <c r="L141" s="59"/>
      <c r="M141" s="69">
        <f t="shared" si="4"/>
        <v>0</v>
      </c>
      <c r="N141" s="57"/>
      <c r="O141" s="58"/>
      <c r="P141" s="57"/>
      <c r="Q141" s="57"/>
      <c r="R141" s="57"/>
    </row>
    <row r="142" spans="1:18">
      <c r="A142" s="67">
        <v>140</v>
      </c>
      <c r="B142" s="67"/>
      <c r="C142" s="60"/>
      <c r="D142" s="60"/>
      <c r="E142" s="61"/>
      <c r="F142" s="60"/>
      <c r="G142" s="60"/>
      <c r="H142" s="60"/>
      <c r="I142" s="62"/>
      <c r="J142" s="59">
        <f t="shared" si="5"/>
        <v>0</v>
      </c>
      <c r="K142" s="62"/>
      <c r="L142" s="62"/>
      <c r="M142" s="69">
        <f t="shared" si="4"/>
        <v>0</v>
      </c>
      <c r="N142" s="60"/>
      <c r="O142" s="61"/>
      <c r="P142" s="60"/>
      <c r="Q142" s="60"/>
      <c r="R142" s="60"/>
    </row>
    <row r="143" spans="1:18">
      <c r="A143" s="66">
        <v>141</v>
      </c>
      <c r="B143" s="66"/>
      <c r="C143" s="57"/>
      <c r="D143" s="57"/>
      <c r="E143" s="58"/>
      <c r="F143" s="57"/>
      <c r="G143" s="57"/>
      <c r="H143" s="57"/>
      <c r="I143" s="59"/>
      <c r="J143" s="59">
        <f t="shared" si="5"/>
        <v>0</v>
      </c>
      <c r="K143" s="59"/>
      <c r="L143" s="59"/>
      <c r="M143" s="69">
        <f t="shared" si="4"/>
        <v>0</v>
      </c>
      <c r="N143" s="57"/>
      <c r="O143" s="58"/>
      <c r="P143" s="57"/>
      <c r="Q143" s="57"/>
      <c r="R143" s="57"/>
    </row>
    <row r="144" spans="1:18">
      <c r="A144" s="67">
        <v>142</v>
      </c>
      <c r="B144" s="67"/>
      <c r="C144" s="60"/>
      <c r="D144" s="60"/>
      <c r="E144" s="61"/>
      <c r="F144" s="60"/>
      <c r="G144" s="60"/>
      <c r="H144" s="60"/>
      <c r="I144" s="62"/>
      <c r="J144" s="59">
        <f t="shared" si="5"/>
        <v>0</v>
      </c>
      <c r="K144" s="62"/>
      <c r="L144" s="62"/>
      <c r="M144" s="69">
        <f t="shared" si="4"/>
        <v>0</v>
      </c>
      <c r="N144" s="60"/>
      <c r="O144" s="61"/>
      <c r="P144" s="60"/>
      <c r="Q144" s="60"/>
      <c r="R144" s="60"/>
    </row>
    <row r="145" spans="1:18">
      <c r="A145" s="66">
        <v>143</v>
      </c>
      <c r="B145" s="66"/>
      <c r="C145" s="57"/>
      <c r="D145" s="57"/>
      <c r="E145" s="58"/>
      <c r="F145" s="57"/>
      <c r="G145" s="57"/>
      <c r="H145" s="57"/>
      <c r="I145" s="59"/>
      <c r="J145" s="59">
        <f t="shared" si="5"/>
        <v>0</v>
      </c>
      <c r="K145" s="59"/>
      <c r="L145" s="59"/>
      <c r="M145" s="69">
        <f t="shared" si="4"/>
        <v>0</v>
      </c>
      <c r="N145" s="57"/>
      <c r="O145" s="58"/>
      <c r="P145" s="57"/>
      <c r="Q145" s="57"/>
      <c r="R145" s="57"/>
    </row>
    <row r="146" spans="1:18">
      <c r="A146" s="67">
        <v>144</v>
      </c>
      <c r="B146" s="67"/>
      <c r="C146" s="60"/>
      <c r="D146" s="60"/>
      <c r="E146" s="61"/>
      <c r="F146" s="60"/>
      <c r="G146" s="60"/>
      <c r="H146" s="60"/>
      <c r="I146" s="62"/>
      <c r="J146" s="59">
        <f t="shared" si="5"/>
        <v>0</v>
      </c>
      <c r="K146" s="62"/>
      <c r="L146" s="62"/>
      <c r="M146" s="69">
        <f t="shared" si="4"/>
        <v>0</v>
      </c>
      <c r="N146" s="60"/>
      <c r="O146" s="61"/>
      <c r="P146" s="60"/>
      <c r="Q146" s="60"/>
      <c r="R146" s="60"/>
    </row>
    <row r="147" spans="1:18">
      <c r="A147" s="66">
        <v>145</v>
      </c>
      <c r="B147" s="66"/>
      <c r="C147" s="57"/>
      <c r="D147" s="57"/>
      <c r="E147" s="58"/>
      <c r="F147" s="57"/>
      <c r="G147" s="57"/>
      <c r="H147" s="57"/>
      <c r="I147" s="59"/>
      <c r="J147" s="59">
        <f t="shared" si="5"/>
        <v>0</v>
      </c>
      <c r="K147" s="59"/>
      <c r="L147" s="59"/>
      <c r="M147" s="69">
        <f t="shared" si="4"/>
        <v>0</v>
      </c>
      <c r="N147" s="57"/>
      <c r="O147" s="58"/>
      <c r="P147" s="57"/>
      <c r="Q147" s="57"/>
      <c r="R147" s="57"/>
    </row>
    <row r="148" spans="1:18">
      <c r="A148" s="67">
        <v>146</v>
      </c>
      <c r="B148" s="67"/>
      <c r="C148" s="60"/>
      <c r="D148" s="60"/>
      <c r="E148" s="61"/>
      <c r="F148" s="60"/>
      <c r="G148" s="60"/>
      <c r="H148" s="60"/>
      <c r="I148" s="62"/>
      <c r="J148" s="59">
        <f t="shared" si="5"/>
        <v>0</v>
      </c>
      <c r="K148" s="62"/>
      <c r="L148" s="62"/>
      <c r="M148" s="69">
        <f t="shared" si="4"/>
        <v>0</v>
      </c>
      <c r="N148" s="60"/>
      <c r="O148" s="61"/>
      <c r="P148" s="60"/>
      <c r="Q148" s="60"/>
      <c r="R148" s="60"/>
    </row>
    <row r="149" spans="1:18">
      <c r="A149" s="66">
        <v>147</v>
      </c>
      <c r="B149" s="66"/>
      <c r="C149" s="57"/>
      <c r="D149" s="57"/>
      <c r="E149" s="58"/>
      <c r="F149" s="57"/>
      <c r="G149" s="57"/>
      <c r="H149" s="57"/>
      <c r="I149" s="59"/>
      <c r="J149" s="59">
        <f t="shared" si="5"/>
        <v>0</v>
      </c>
      <c r="K149" s="59"/>
      <c r="L149" s="59"/>
      <c r="M149" s="69">
        <f t="shared" si="4"/>
        <v>0</v>
      </c>
      <c r="N149" s="57"/>
      <c r="O149" s="58"/>
      <c r="P149" s="57"/>
      <c r="Q149" s="57"/>
      <c r="R149" s="57"/>
    </row>
    <row r="150" spans="1:18">
      <c r="A150" s="67">
        <v>148</v>
      </c>
      <c r="B150" s="67"/>
      <c r="C150" s="60"/>
      <c r="D150" s="60"/>
      <c r="E150" s="61"/>
      <c r="F150" s="60"/>
      <c r="G150" s="60"/>
      <c r="H150" s="60"/>
      <c r="I150" s="62"/>
      <c r="J150" s="59">
        <f t="shared" si="5"/>
        <v>0</v>
      </c>
      <c r="K150" s="62"/>
      <c r="L150" s="62"/>
      <c r="M150" s="69">
        <f t="shared" si="4"/>
        <v>0</v>
      </c>
      <c r="N150" s="60"/>
      <c r="O150" s="61"/>
      <c r="P150" s="60"/>
      <c r="Q150" s="60"/>
      <c r="R150" s="60"/>
    </row>
    <row r="151" spans="1:18">
      <c r="A151" s="66">
        <v>149</v>
      </c>
      <c r="B151" s="66"/>
      <c r="C151" s="57"/>
      <c r="D151" s="57"/>
      <c r="E151" s="58"/>
      <c r="F151" s="57"/>
      <c r="G151" s="57"/>
      <c r="H151" s="57"/>
      <c r="I151" s="59"/>
      <c r="J151" s="59">
        <f t="shared" si="5"/>
        <v>0</v>
      </c>
      <c r="K151" s="59"/>
      <c r="L151" s="59"/>
      <c r="M151" s="69">
        <f t="shared" si="4"/>
        <v>0</v>
      </c>
      <c r="N151" s="57"/>
      <c r="O151" s="58"/>
      <c r="P151" s="57"/>
      <c r="Q151" s="57"/>
      <c r="R151" s="57"/>
    </row>
    <row r="152" spans="1:18">
      <c r="A152" s="67">
        <v>150</v>
      </c>
      <c r="B152" s="67"/>
      <c r="C152" s="60"/>
      <c r="D152" s="60"/>
      <c r="E152" s="61"/>
      <c r="F152" s="60"/>
      <c r="G152" s="60"/>
      <c r="H152" s="60"/>
      <c r="I152" s="62"/>
      <c r="J152" s="59">
        <f t="shared" si="5"/>
        <v>0</v>
      </c>
      <c r="K152" s="62"/>
      <c r="L152" s="62"/>
      <c r="M152" s="69">
        <f t="shared" si="4"/>
        <v>0</v>
      </c>
      <c r="N152" s="60"/>
      <c r="O152" s="61"/>
      <c r="P152" s="60"/>
      <c r="Q152" s="60"/>
      <c r="R152" s="60"/>
    </row>
    <row r="153" spans="1:18">
      <c r="A153" s="66">
        <v>151</v>
      </c>
      <c r="B153" s="66"/>
      <c r="C153" s="57"/>
      <c r="D153" s="57"/>
      <c r="E153" s="58"/>
      <c r="F153" s="57"/>
      <c r="G153" s="57"/>
      <c r="H153" s="57"/>
      <c r="I153" s="59"/>
      <c r="J153" s="59">
        <f t="shared" si="5"/>
        <v>0</v>
      </c>
      <c r="K153" s="59"/>
      <c r="L153" s="59"/>
      <c r="M153" s="69">
        <f t="shared" si="4"/>
        <v>0</v>
      </c>
      <c r="N153" s="57"/>
      <c r="O153" s="58"/>
      <c r="P153" s="57"/>
      <c r="Q153" s="57"/>
      <c r="R153" s="57"/>
    </row>
    <row r="154" spans="1:18">
      <c r="A154" s="67">
        <v>152</v>
      </c>
      <c r="B154" s="67"/>
      <c r="C154" s="60"/>
      <c r="D154" s="60"/>
      <c r="E154" s="61"/>
      <c r="F154" s="60"/>
      <c r="G154" s="60"/>
      <c r="H154" s="60"/>
      <c r="I154" s="62"/>
      <c r="J154" s="59">
        <f t="shared" si="5"/>
        <v>0</v>
      </c>
      <c r="K154" s="62"/>
      <c r="L154" s="62"/>
      <c r="M154" s="69">
        <f t="shared" si="4"/>
        <v>0</v>
      </c>
      <c r="N154" s="60"/>
      <c r="O154" s="61"/>
      <c r="P154" s="60"/>
      <c r="Q154" s="60"/>
      <c r="R154" s="60"/>
    </row>
    <row r="155" spans="1:18">
      <c r="A155" s="66">
        <v>153</v>
      </c>
      <c r="B155" s="66"/>
      <c r="C155" s="57"/>
      <c r="D155" s="57"/>
      <c r="E155" s="58"/>
      <c r="F155" s="57"/>
      <c r="G155" s="57"/>
      <c r="H155" s="57"/>
      <c r="I155" s="59"/>
      <c r="J155" s="59">
        <f t="shared" si="5"/>
        <v>0</v>
      </c>
      <c r="K155" s="59"/>
      <c r="L155" s="59"/>
      <c r="M155" s="69">
        <f t="shared" si="4"/>
        <v>0</v>
      </c>
      <c r="N155" s="57"/>
      <c r="O155" s="58"/>
      <c r="P155" s="57"/>
      <c r="Q155" s="57"/>
      <c r="R155" s="57"/>
    </row>
    <row r="156" spans="1:18">
      <c r="A156" s="67">
        <v>154</v>
      </c>
      <c r="B156" s="67"/>
      <c r="C156" s="60"/>
      <c r="D156" s="60"/>
      <c r="E156" s="61"/>
      <c r="F156" s="60"/>
      <c r="G156" s="60"/>
      <c r="H156" s="60"/>
      <c r="I156" s="62"/>
      <c r="J156" s="59">
        <f t="shared" si="5"/>
        <v>0</v>
      </c>
      <c r="K156" s="62"/>
      <c r="L156" s="62"/>
      <c r="M156" s="69">
        <f t="shared" si="4"/>
        <v>0</v>
      </c>
      <c r="N156" s="60"/>
      <c r="O156" s="61"/>
      <c r="P156" s="60"/>
      <c r="Q156" s="60"/>
      <c r="R156" s="60"/>
    </row>
    <row r="157" spans="1:18">
      <c r="A157" s="66">
        <v>155</v>
      </c>
      <c r="B157" s="66"/>
      <c r="C157" s="57"/>
      <c r="D157" s="57"/>
      <c r="E157" s="58"/>
      <c r="F157" s="57"/>
      <c r="G157" s="57"/>
      <c r="H157" s="57"/>
      <c r="I157" s="59"/>
      <c r="J157" s="59">
        <f t="shared" si="5"/>
        <v>0</v>
      </c>
      <c r="K157" s="59"/>
      <c r="L157" s="59"/>
      <c r="M157" s="69">
        <f t="shared" si="4"/>
        <v>0</v>
      </c>
      <c r="N157" s="57"/>
      <c r="O157" s="58"/>
      <c r="P157" s="57"/>
      <c r="Q157" s="57"/>
      <c r="R157" s="57"/>
    </row>
    <row r="158" spans="1:18">
      <c r="A158" s="67">
        <v>156</v>
      </c>
      <c r="B158" s="67"/>
      <c r="C158" s="60"/>
      <c r="D158" s="60"/>
      <c r="E158" s="61"/>
      <c r="F158" s="60"/>
      <c r="G158" s="60"/>
      <c r="H158" s="60"/>
      <c r="I158" s="62"/>
      <c r="J158" s="59">
        <f t="shared" si="5"/>
        <v>0</v>
      </c>
      <c r="K158" s="62"/>
      <c r="L158" s="62"/>
      <c r="M158" s="69">
        <f t="shared" si="4"/>
        <v>0</v>
      </c>
      <c r="N158" s="60"/>
      <c r="O158" s="61"/>
      <c r="P158" s="60"/>
      <c r="Q158" s="60"/>
      <c r="R158" s="60"/>
    </row>
    <row r="159" spans="1:18">
      <c r="A159" s="66">
        <v>157</v>
      </c>
      <c r="B159" s="66"/>
      <c r="C159" s="57"/>
      <c r="D159" s="57"/>
      <c r="E159" s="58"/>
      <c r="F159" s="57"/>
      <c r="G159" s="57"/>
      <c r="H159" s="57"/>
      <c r="I159" s="59"/>
      <c r="J159" s="59">
        <f t="shared" si="5"/>
        <v>0</v>
      </c>
      <c r="K159" s="59"/>
      <c r="L159" s="59"/>
      <c r="M159" s="69">
        <f t="shared" si="4"/>
        <v>0</v>
      </c>
      <c r="N159" s="57"/>
      <c r="O159" s="58"/>
      <c r="P159" s="57"/>
      <c r="Q159" s="57"/>
      <c r="R159" s="57"/>
    </row>
    <row r="160" spans="1:18">
      <c r="A160" s="67">
        <v>158</v>
      </c>
      <c r="B160" s="67"/>
      <c r="C160" s="60"/>
      <c r="D160" s="60"/>
      <c r="E160" s="61"/>
      <c r="F160" s="60"/>
      <c r="G160" s="60"/>
      <c r="H160" s="60"/>
      <c r="I160" s="62"/>
      <c r="J160" s="59">
        <f t="shared" si="5"/>
        <v>0</v>
      </c>
      <c r="K160" s="62"/>
      <c r="L160" s="62"/>
      <c r="M160" s="69">
        <f t="shared" si="4"/>
        <v>0</v>
      </c>
      <c r="N160" s="60"/>
      <c r="O160" s="61"/>
      <c r="P160" s="60"/>
      <c r="Q160" s="60"/>
      <c r="R160" s="60"/>
    </row>
    <row r="161" spans="1:18">
      <c r="A161" s="66">
        <v>159</v>
      </c>
      <c r="B161" s="66"/>
      <c r="C161" s="57"/>
      <c r="D161" s="57"/>
      <c r="E161" s="58"/>
      <c r="F161" s="57"/>
      <c r="G161" s="57"/>
      <c r="H161" s="57"/>
      <c r="I161" s="59"/>
      <c r="J161" s="59">
        <f t="shared" si="5"/>
        <v>0</v>
      </c>
      <c r="K161" s="59"/>
      <c r="L161" s="59"/>
      <c r="M161" s="69">
        <f t="shared" si="4"/>
        <v>0</v>
      </c>
      <c r="N161" s="57"/>
      <c r="O161" s="58"/>
      <c r="P161" s="57"/>
      <c r="Q161" s="57"/>
      <c r="R161" s="57"/>
    </row>
    <row r="162" spans="1:18">
      <c r="A162" s="67">
        <v>160</v>
      </c>
      <c r="B162" s="67"/>
      <c r="C162" s="60"/>
      <c r="D162" s="60"/>
      <c r="E162" s="61"/>
      <c r="F162" s="60"/>
      <c r="G162" s="60"/>
      <c r="H162" s="60"/>
      <c r="I162" s="62"/>
      <c r="J162" s="59">
        <f t="shared" si="5"/>
        <v>0</v>
      </c>
      <c r="K162" s="62"/>
      <c r="L162" s="62"/>
      <c r="M162" s="69">
        <f t="shared" si="4"/>
        <v>0</v>
      </c>
      <c r="N162" s="60"/>
      <c r="O162" s="61"/>
      <c r="P162" s="60"/>
      <c r="Q162" s="60"/>
      <c r="R162" s="60"/>
    </row>
    <row r="163" spans="1:18">
      <c r="A163" s="66">
        <v>161</v>
      </c>
      <c r="B163" s="66"/>
      <c r="C163" s="57"/>
      <c r="D163" s="57"/>
      <c r="E163" s="58"/>
      <c r="F163" s="57"/>
      <c r="G163" s="57"/>
      <c r="H163" s="57"/>
      <c r="I163" s="59"/>
      <c r="J163" s="59">
        <f t="shared" si="5"/>
        <v>0</v>
      </c>
      <c r="K163" s="59"/>
      <c r="L163" s="59"/>
      <c r="M163" s="69">
        <f t="shared" si="4"/>
        <v>0</v>
      </c>
      <c r="N163" s="57"/>
      <c r="O163" s="58"/>
      <c r="P163" s="57"/>
      <c r="Q163" s="57"/>
      <c r="R163" s="57"/>
    </row>
    <row r="164" spans="1:18">
      <c r="A164" s="67">
        <v>162</v>
      </c>
      <c r="B164" s="67"/>
      <c r="C164" s="60"/>
      <c r="D164" s="60"/>
      <c r="E164" s="61"/>
      <c r="F164" s="60"/>
      <c r="G164" s="60"/>
      <c r="H164" s="60"/>
      <c r="I164" s="62"/>
      <c r="J164" s="59">
        <f t="shared" si="5"/>
        <v>0</v>
      </c>
      <c r="K164" s="62"/>
      <c r="L164" s="62"/>
      <c r="M164" s="69">
        <f t="shared" si="4"/>
        <v>0</v>
      </c>
      <c r="N164" s="60"/>
      <c r="O164" s="61"/>
      <c r="P164" s="60"/>
      <c r="Q164" s="60"/>
      <c r="R164" s="60"/>
    </row>
    <row r="165" spans="1:18">
      <c r="A165" s="66">
        <v>163</v>
      </c>
      <c r="B165" s="66"/>
      <c r="C165" s="57"/>
      <c r="D165" s="57"/>
      <c r="E165" s="58"/>
      <c r="F165" s="57"/>
      <c r="G165" s="57"/>
      <c r="H165" s="57"/>
      <c r="I165" s="59"/>
      <c r="J165" s="59">
        <f t="shared" si="5"/>
        <v>0</v>
      </c>
      <c r="K165" s="59"/>
      <c r="L165" s="59"/>
      <c r="M165" s="69">
        <f t="shared" si="4"/>
        <v>0</v>
      </c>
      <c r="N165" s="57"/>
      <c r="O165" s="58"/>
      <c r="P165" s="57"/>
      <c r="Q165" s="57"/>
      <c r="R165" s="57"/>
    </row>
    <row r="166" spans="1:18">
      <c r="A166" s="67">
        <v>164</v>
      </c>
      <c r="B166" s="67"/>
      <c r="C166" s="60"/>
      <c r="D166" s="60"/>
      <c r="E166" s="61"/>
      <c r="F166" s="60"/>
      <c r="G166" s="60"/>
      <c r="H166" s="60"/>
      <c r="I166" s="62"/>
      <c r="J166" s="59">
        <f t="shared" si="5"/>
        <v>0</v>
      </c>
      <c r="K166" s="62"/>
      <c r="L166" s="62"/>
      <c r="M166" s="69">
        <f t="shared" si="4"/>
        <v>0</v>
      </c>
      <c r="N166" s="60"/>
      <c r="O166" s="61"/>
      <c r="P166" s="60"/>
      <c r="Q166" s="60"/>
      <c r="R166" s="60"/>
    </row>
    <row r="167" spans="1:18">
      <c r="A167" s="66">
        <v>165</v>
      </c>
      <c r="B167" s="66"/>
      <c r="C167" s="57"/>
      <c r="D167" s="57"/>
      <c r="E167" s="58"/>
      <c r="F167" s="57"/>
      <c r="G167" s="57"/>
      <c r="H167" s="57"/>
      <c r="I167" s="59"/>
      <c r="J167" s="59">
        <f t="shared" si="5"/>
        <v>0</v>
      </c>
      <c r="K167" s="59"/>
      <c r="L167" s="59"/>
      <c r="M167" s="69">
        <f t="shared" si="4"/>
        <v>0</v>
      </c>
      <c r="N167" s="57"/>
      <c r="O167" s="58"/>
      <c r="P167" s="57"/>
      <c r="Q167" s="57"/>
      <c r="R167" s="57"/>
    </row>
    <row r="168" spans="1:18">
      <c r="A168" s="67">
        <v>166</v>
      </c>
      <c r="B168" s="67"/>
      <c r="C168" s="60"/>
      <c r="D168" s="60"/>
      <c r="E168" s="61"/>
      <c r="F168" s="60"/>
      <c r="G168" s="60"/>
      <c r="H168" s="60"/>
      <c r="I168" s="62"/>
      <c r="J168" s="59">
        <f t="shared" si="5"/>
        <v>0</v>
      </c>
      <c r="K168" s="62"/>
      <c r="L168" s="62"/>
      <c r="M168" s="69">
        <f t="shared" si="4"/>
        <v>0</v>
      </c>
      <c r="N168" s="60"/>
      <c r="O168" s="61"/>
      <c r="P168" s="60"/>
      <c r="Q168" s="60"/>
      <c r="R168" s="60"/>
    </row>
    <row r="169" spans="1:18">
      <c r="A169" s="66">
        <v>167</v>
      </c>
      <c r="B169" s="66"/>
      <c r="C169" s="57"/>
      <c r="D169" s="57"/>
      <c r="E169" s="58"/>
      <c r="F169" s="57"/>
      <c r="G169" s="57"/>
      <c r="H169" s="57"/>
      <c r="I169" s="59"/>
      <c r="J169" s="59">
        <f t="shared" si="5"/>
        <v>0</v>
      </c>
      <c r="K169" s="59"/>
      <c r="L169" s="59"/>
      <c r="M169" s="69">
        <f t="shared" si="4"/>
        <v>0</v>
      </c>
      <c r="N169" s="57"/>
      <c r="O169" s="58"/>
      <c r="P169" s="57"/>
      <c r="Q169" s="57"/>
      <c r="R169" s="57"/>
    </row>
    <row r="170" spans="1:18">
      <c r="A170" s="67">
        <v>168</v>
      </c>
      <c r="B170" s="67"/>
      <c r="C170" s="60"/>
      <c r="D170" s="60"/>
      <c r="E170" s="61"/>
      <c r="F170" s="60"/>
      <c r="G170" s="60"/>
      <c r="H170" s="60"/>
      <c r="I170" s="62"/>
      <c r="J170" s="59">
        <f t="shared" si="5"/>
        <v>0</v>
      </c>
      <c r="K170" s="62"/>
      <c r="L170" s="62"/>
      <c r="M170" s="69">
        <f t="shared" si="4"/>
        <v>0</v>
      </c>
      <c r="N170" s="60"/>
      <c r="O170" s="61"/>
      <c r="P170" s="60"/>
      <c r="Q170" s="60"/>
      <c r="R170" s="60"/>
    </row>
    <row r="171" spans="1:18">
      <c r="A171" s="66">
        <v>169</v>
      </c>
      <c r="B171" s="66"/>
      <c r="C171" s="57"/>
      <c r="D171" s="57"/>
      <c r="E171" s="58"/>
      <c r="F171" s="57"/>
      <c r="G171" s="57"/>
      <c r="H171" s="57"/>
      <c r="I171" s="59"/>
      <c r="J171" s="59">
        <f t="shared" si="5"/>
        <v>0</v>
      </c>
      <c r="K171" s="59"/>
      <c r="L171" s="59"/>
      <c r="M171" s="69">
        <f t="shared" si="4"/>
        <v>0</v>
      </c>
      <c r="N171" s="57"/>
      <c r="O171" s="58"/>
      <c r="P171" s="57"/>
      <c r="Q171" s="57"/>
      <c r="R171" s="57"/>
    </row>
    <row r="172" spans="1:18">
      <c r="A172" s="67">
        <v>170</v>
      </c>
      <c r="B172" s="67"/>
      <c r="C172" s="60"/>
      <c r="D172" s="60"/>
      <c r="E172" s="61"/>
      <c r="F172" s="60"/>
      <c r="G172" s="60"/>
      <c r="H172" s="60"/>
      <c r="I172" s="62"/>
      <c r="J172" s="59">
        <f t="shared" si="5"/>
        <v>0</v>
      </c>
      <c r="K172" s="62"/>
      <c r="L172" s="62"/>
      <c r="M172" s="69">
        <f t="shared" si="4"/>
        <v>0</v>
      </c>
      <c r="N172" s="60"/>
      <c r="O172" s="61"/>
      <c r="P172" s="60"/>
      <c r="Q172" s="60"/>
      <c r="R172" s="60"/>
    </row>
    <row r="173" spans="1:18">
      <c r="A173" s="66">
        <v>171</v>
      </c>
      <c r="B173" s="66"/>
      <c r="C173" s="57"/>
      <c r="D173" s="57"/>
      <c r="E173" s="58"/>
      <c r="F173" s="57"/>
      <c r="G173" s="57"/>
      <c r="H173" s="57"/>
      <c r="I173" s="59"/>
      <c r="J173" s="59">
        <f t="shared" si="5"/>
        <v>0</v>
      </c>
      <c r="K173" s="59"/>
      <c r="L173" s="59"/>
      <c r="M173" s="69">
        <f t="shared" si="4"/>
        <v>0</v>
      </c>
      <c r="N173" s="57"/>
      <c r="O173" s="58"/>
      <c r="P173" s="57"/>
      <c r="Q173" s="57"/>
      <c r="R173" s="57"/>
    </row>
    <row r="174" spans="1:18">
      <c r="A174" s="67">
        <v>172</v>
      </c>
      <c r="B174" s="67"/>
      <c r="C174" s="60"/>
      <c r="D174" s="60"/>
      <c r="E174" s="61"/>
      <c r="F174" s="60"/>
      <c r="G174" s="60"/>
      <c r="H174" s="60"/>
      <c r="I174" s="62"/>
      <c r="J174" s="59">
        <f t="shared" si="5"/>
        <v>0</v>
      </c>
      <c r="K174" s="62"/>
      <c r="L174" s="62"/>
      <c r="M174" s="69">
        <f t="shared" si="4"/>
        <v>0</v>
      </c>
      <c r="N174" s="60"/>
      <c r="O174" s="61"/>
      <c r="P174" s="60"/>
      <c r="Q174" s="60"/>
      <c r="R174" s="60"/>
    </row>
    <row r="175" spans="1:18">
      <c r="A175" s="66">
        <v>173</v>
      </c>
      <c r="B175" s="66"/>
      <c r="C175" s="57"/>
      <c r="D175" s="57"/>
      <c r="E175" s="58"/>
      <c r="F175" s="57"/>
      <c r="G175" s="57"/>
      <c r="H175" s="57"/>
      <c r="I175" s="59"/>
      <c r="J175" s="59">
        <f t="shared" si="5"/>
        <v>0</v>
      </c>
      <c r="K175" s="59"/>
      <c r="L175" s="59"/>
      <c r="M175" s="69">
        <f t="shared" si="4"/>
        <v>0</v>
      </c>
      <c r="N175" s="57"/>
      <c r="O175" s="58"/>
      <c r="P175" s="57"/>
      <c r="Q175" s="57"/>
      <c r="R175" s="57"/>
    </row>
    <row r="176" spans="1:18">
      <c r="A176" s="67">
        <v>174</v>
      </c>
      <c r="B176" s="67"/>
      <c r="C176" s="60"/>
      <c r="D176" s="60"/>
      <c r="E176" s="61"/>
      <c r="F176" s="60"/>
      <c r="G176" s="60"/>
      <c r="H176" s="60"/>
      <c r="I176" s="62"/>
      <c r="J176" s="59">
        <f t="shared" si="5"/>
        <v>0</v>
      </c>
      <c r="K176" s="62"/>
      <c r="L176" s="62"/>
      <c r="M176" s="69">
        <f t="shared" si="4"/>
        <v>0</v>
      </c>
      <c r="N176" s="60"/>
      <c r="O176" s="61"/>
      <c r="P176" s="60"/>
      <c r="Q176" s="60"/>
      <c r="R176" s="60"/>
    </row>
    <row r="177" spans="1:18">
      <c r="A177" s="66">
        <v>175</v>
      </c>
      <c r="B177" s="66"/>
      <c r="C177" s="57"/>
      <c r="D177" s="57"/>
      <c r="E177" s="58"/>
      <c r="F177" s="57"/>
      <c r="G177" s="57"/>
      <c r="H177" s="57"/>
      <c r="I177" s="59"/>
      <c r="J177" s="59">
        <f t="shared" si="5"/>
        <v>0</v>
      </c>
      <c r="K177" s="59"/>
      <c r="L177" s="59"/>
      <c r="M177" s="69">
        <f t="shared" si="4"/>
        <v>0</v>
      </c>
      <c r="N177" s="57"/>
      <c r="O177" s="58"/>
      <c r="P177" s="57"/>
      <c r="Q177" s="57"/>
      <c r="R177" s="57"/>
    </row>
    <row r="178" spans="1:18">
      <c r="A178" s="67">
        <v>176</v>
      </c>
      <c r="B178" s="67"/>
      <c r="C178" s="60"/>
      <c r="D178" s="60"/>
      <c r="E178" s="61"/>
      <c r="F178" s="60"/>
      <c r="G178" s="60"/>
      <c r="H178" s="60"/>
      <c r="I178" s="62"/>
      <c r="J178" s="59">
        <f t="shared" si="5"/>
        <v>0</v>
      </c>
      <c r="K178" s="62"/>
      <c r="L178" s="62"/>
      <c r="M178" s="69">
        <f t="shared" si="4"/>
        <v>0</v>
      </c>
      <c r="N178" s="60"/>
      <c r="O178" s="61"/>
      <c r="P178" s="60"/>
      <c r="Q178" s="60"/>
      <c r="R178" s="60"/>
    </row>
    <row r="179" spans="1:18">
      <c r="A179" s="66">
        <v>177</v>
      </c>
      <c r="B179" s="66"/>
      <c r="C179" s="57"/>
      <c r="D179" s="57"/>
      <c r="E179" s="58"/>
      <c r="F179" s="57"/>
      <c r="G179" s="57"/>
      <c r="H179" s="57"/>
      <c r="I179" s="59"/>
      <c r="J179" s="59">
        <f t="shared" si="5"/>
        <v>0</v>
      </c>
      <c r="K179" s="59"/>
      <c r="L179" s="59"/>
      <c r="M179" s="69">
        <f t="shared" si="4"/>
        <v>0</v>
      </c>
      <c r="N179" s="57"/>
      <c r="O179" s="58"/>
      <c r="P179" s="57"/>
      <c r="Q179" s="57"/>
      <c r="R179" s="57"/>
    </row>
    <row r="180" spans="1:18">
      <c r="A180" s="67">
        <v>178</v>
      </c>
      <c r="B180" s="67"/>
      <c r="C180" s="60"/>
      <c r="D180" s="60"/>
      <c r="E180" s="61"/>
      <c r="F180" s="60"/>
      <c r="G180" s="60"/>
      <c r="H180" s="60"/>
      <c r="I180" s="62"/>
      <c r="J180" s="59">
        <f t="shared" si="5"/>
        <v>0</v>
      </c>
      <c r="K180" s="62"/>
      <c r="L180" s="62"/>
      <c r="M180" s="69">
        <f t="shared" si="4"/>
        <v>0</v>
      </c>
      <c r="N180" s="60"/>
      <c r="O180" s="61"/>
      <c r="P180" s="60"/>
      <c r="Q180" s="60"/>
      <c r="R180" s="60"/>
    </row>
    <row r="181" spans="1:18">
      <c r="A181" s="66">
        <v>179</v>
      </c>
      <c r="B181" s="66"/>
      <c r="C181" s="57"/>
      <c r="D181" s="57"/>
      <c r="E181" s="58"/>
      <c r="F181" s="57"/>
      <c r="G181" s="57"/>
      <c r="H181" s="57"/>
      <c r="I181" s="59"/>
      <c r="J181" s="59">
        <f t="shared" si="5"/>
        <v>0</v>
      </c>
      <c r="K181" s="59"/>
      <c r="L181" s="59"/>
      <c r="M181" s="69">
        <f t="shared" si="4"/>
        <v>0</v>
      </c>
      <c r="N181" s="57"/>
      <c r="O181" s="58"/>
      <c r="P181" s="57"/>
      <c r="Q181" s="57"/>
      <c r="R181" s="57"/>
    </row>
    <row r="182" spans="1:18">
      <c r="A182" s="67">
        <v>180</v>
      </c>
      <c r="B182" s="67"/>
      <c r="C182" s="60"/>
      <c r="D182" s="60"/>
      <c r="E182" s="61"/>
      <c r="F182" s="60"/>
      <c r="G182" s="60"/>
      <c r="H182" s="60"/>
      <c r="I182" s="62"/>
      <c r="J182" s="59">
        <f t="shared" si="5"/>
        <v>0</v>
      </c>
      <c r="K182" s="62"/>
      <c r="L182" s="62"/>
      <c r="M182" s="69">
        <f t="shared" si="4"/>
        <v>0</v>
      </c>
      <c r="N182" s="60"/>
      <c r="O182" s="61"/>
      <c r="P182" s="60"/>
      <c r="Q182" s="60"/>
      <c r="R182" s="60"/>
    </row>
    <row r="183" spans="1:18">
      <c r="A183" s="66">
        <v>181</v>
      </c>
      <c r="B183" s="66"/>
      <c r="C183" s="57"/>
      <c r="D183" s="57"/>
      <c r="E183" s="58"/>
      <c r="F183" s="57"/>
      <c r="G183" s="57"/>
      <c r="H183" s="57"/>
      <c r="I183" s="59"/>
      <c r="J183" s="59">
        <f t="shared" si="5"/>
        <v>0</v>
      </c>
      <c r="K183" s="59"/>
      <c r="L183" s="59"/>
      <c r="M183" s="69">
        <f t="shared" si="4"/>
        <v>0</v>
      </c>
      <c r="N183" s="57"/>
      <c r="O183" s="58"/>
      <c r="P183" s="57"/>
      <c r="Q183" s="57"/>
      <c r="R183" s="57"/>
    </row>
    <row r="184" spans="1:18">
      <c r="A184" s="67">
        <v>182</v>
      </c>
      <c r="B184" s="67"/>
      <c r="C184" s="60"/>
      <c r="D184" s="60"/>
      <c r="E184" s="61"/>
      <c r="F184" s="60"/>
      <c r="G184" s="60"/>
      <c r="H184" s="60"/>
      <c r="I184" s="62"/>
      <c r="J184" s="59">
        <f t="shared" si="5"/>
        <v>0</v>
      </c>
      <c r="K184" s="62"/>
      <c r="L184" s="62"/>
      <c r="M184" s="69">
        <f t="shared" si="4"/>
        <v>0</v>
      </c>
      <c r="N184" s="60"/>
      <c r="O184" s="61"/>
      <c r="P184" s="60"/>
      <c r="Q184" s="60"/>
      <c r="R184" s="60"/>
    </row>
    <row r="185" spans="1:18">
      <c r="A185" s="66">
        <v>183</v>
      </c>
      <c r="B185" s="66"/>
      <c r="C185" s="57"/>
      <c r="D185" s="57"/>
      <c r="E185" s="58"/>
      <c r="F185" s="57"/>
      <c r="G185" s="57"/>
      <c r="H185" s="57"/>
      <c r="I185" s="59"/>
      <c r="J185" s="59">
        <f t="shared" si="5"/>
        <v>0</v>
      </c>
      <c r="K185" s="59"/>
      <c r="L185" s="59"/>
      <c r="M185" s="69">
        <f t="shared" si="4"/>
        <v>0</v>
      </c>
      <c r="N185" s="57"/>
      <c r="O185" s="58"/>
      <c r="P185" s="57"/>
      <c r="Q185" s="57"/>
      <c r="R185" s="57"/>
    </row>
    <row r="186" spans="1:18">
      <c r="A186" s="67">
        <v>184</v>
      </c>
      <c r="B186" s="67"/>
      <c r="C186" s="60"/>
      <c r="D186" s="60"/>
      <c r="E186" s="61"/>
      <c r="F186" s="60"/>
      <c r="G186" s="60"/>
      <c r="H186" s="60"/>
      <c r="I186" s="62"/>
      <c r="J186" s="59">
        <f t="shared" si="5"/>
        <v>0</v>
      </c>
      <c r="K186" s="62"/>
      <c r="L186" s="62"/>
      <c r="M186" s="69">
        <f t="shared" si="4"/>
        <v>0</v>
      </c>
      <c r="N186" s="60"/>
      <c r="O186" s="61"/>
      <c r="P186" s="60"/>
      <c r="Q186" s="60"/>
      <c r="R186" s="60"/>
    </row>
    <row r="187" spans="1:18">
      <c r="A187" s="66">
        <v>185</v>
      </c>
      <c r="B187" s="66"/>
      <c r="C187" s="57"/>
      <c r="D187" s="57"/>
      <c r="E187" s="58"/>
      <c r="F187" s="57"/>
      <c r="G187" s="57"/>
      <c r="H187" s="57"/>
      <c r="I187" s="59"/>
      <c r="J187" s="59">
        <f t="shared" si="5"/>
        <v>0</v>
      </c>
      <c r="K187" s="59"/>
      <c r="L187" s="59"/>
      <c r="M187" s="69">
        <f t="shared" si="4"/>
        <v>0</v>
      </c>
      <c r="N187" s="57"/>
      <c r="O187" s="58"/>
      <c r="P187" s="57"/>
      <c r="Q187" s="57"/>
      <c r="R187" s="57"/>
    </row>
    <row r="188" spans="1:18">
      <c r="A188" s="67">
        <v>186</v>
      </c>
      <c r="B188" s="67"/>
      <c r="C188" s="60"/>
      <c r="D188" s="60"/>
      <c r="E188" s="61"/>
      <c r="F188" s="60"/>
      <c r="G188" s="60"/>
      <c r="H188" s="60"/>
      <c r="I188" s="62"/>
      <c r="J188" s="59">
        <f t="shared" si="5"/>
        <v>0</v>
      </c>
      <c r="K188" s="62"/>
      <c r="L188" s="62"/>
      <c r="M188" s="69">
        <f t="shared" si="4"/>
        <v>0</v>
      </c>
      <c r="N188" s="60"/>
      <c r="O188" s="61"/>
      <c r="P188" s="60"/>
      <c r="Q188" s="60"/>
      <c r="R188" s="60"/>
    </row>
    <row r="189" spans="1:18">
      <c r="A189" s="66">
        <v>187</v>
      </c>
      <c r="B189" s="66"/>
      <c r="C189" s="57"/>
      <c r="D189" s="57"/>
      <c r="E189" s="58"/>
      <c r="F189" s="57"/>
      <c r="G189" s="57"/>
      <c r="H189" s="57"/>
      <c r="I189" s="59"/>
      <c r="J189" s="59">
        <f t="shared" si="5"/>
        <v>0</v>
      </c>
      <c r="K189" s="59"/>
      <c r="L189" s="59"/>
      <c r="M189" s="69">
        <f t="shared" si="4"/>
        <v>0</v>
      </c>
      <c r="N189" s="57"/>
      <c r="O189" s="58"/>
      <c r="P189" s="57"/>
      <c r="Q189" s="57"/>
      <c r="R189" s="57"/>
    </row>
    <row r="190" spans="1:18">
      <c r="A190" s="67">
        <v>188</v>
      </c>
      <c r="B190" s="67"/>
      <c r="C190" s="60"/>
      <c r="D190" s="60"/>
      <c r="E190" s="61"/>
      <c r="F190" s="60"/>
      <c r="G190" s="60"/>
      <c r="H190" s="60"/>
      <c r="I190" s="62"/>
      <c r="J190" s="59">
        <f t="shared" si="5"/>
        <v>0</v>
      </c>
      <c r="K190" s="62"/>
      <c r="L190" s="62"/>
      <c r="M190" s="69">
        <f t="shared" si="4"/>
        <v>0</v>
      </c>
      <c r="N190" s="60"/>
      <c r="O190" s="61"/>
      <c r="P190" s="60"/>
      <c r="Q190" s="60"/>
      <c r="R190" s="60"/>
    </row>
    <row r="191" spans="1:18">
      <c r="A191" s="66">
        <v>189</v>
      </c>
      <c r="B191" s="66"/>
      <c r="C191" s="57"/>
      <c r="D191" s="57"/>
      <c r="E191" s="58"/>
      <c r="F191" s="57"/>
      <c r="G191" s="57"/>
      <c r="H191" s="57"/>
      <c r="I191" s="59"/>
      <c r="J191" s="59">
        <f t="shared" si="5"/>
        <v>0</v>
      </c>
      <c r="K191" s="59"/>
      <c r="L191" s="59"/>
      <c r="M191" s="69">
        <f t="shared" si="4"/>
        <v>0</v>
      </c>
      <c r="N191" s="57"/>
      <c r="O191" s="58"/>
      <c r="P191" s="57"/>
      <c r="Q191" s="57"/>
      <c r="R191" s="57"/>
    </row>
    <row r="192" spans="1:18">
      <c r="A192" s="67">
        <v>190</v>
      </c>
      <c r="B192" s="67"/>
      <c r="C192" s="60"/>
      <c r="D192" s="60"/>
      <c r="E192" s="61"/>
      <c r="F192" s="60"/>
      <c r="G192" s="60"/>
      <c r="H192" s="60"/>
      <c r="I192" s="62"/>
      <c r="J192" s="59">
        <f t="shared" si="5"/>
        <v>0</v>
      </c>
      <c r="K192" s="62"/>
      <c r="L192" s="62"/>
      <c r="M192" s="69">
        <f t="shared" si="4"/>
        <v>0</v>
      </c>
      <c r="N192" s="60"/>
      <c r="O192" s="61"/>
      <c r="P192" s="60"/>
      <c r="Q192" s="60"/>
      <c r="R192" s="60"/>
    </row>
    <row r="193" spans="1:18">
      <c r="A193" s="66">
        <v>191</v>
      </c>
      <c r="B193" s="66"/>
      <c r="C193" s="57"/>
      <c r="D193" s="57"/>
      <c r="E193" s="58"/>
      <c r="F193" s="57"/>
      <c r="G193" s="57"/>
      <c r="H193" s="57"/>
      <c r="I193" s="59"/>
      <c r="J193" s="59">
        <f t="shared" si="5"/>
        <v>0</v>
      </c>
      <c r="K193" s="59"/>
      <c r="L193" s="59"/>
      <c r="M193" s="69">
        <f t="shared" si="4"/>
        <v>0</v>
      </c>
      <c r="N193" s="57"/>
      <c r="O193" s="58"/>
      <c r="P193" s="57"/>
      <c r="Q193" s="57"/>
      <c r="R193" s="57"/>
    </row>
    <row r="194" spans="1:18">
      <c r="A194" s="67">
        <v>192</v>
      </c>
      <c r="B194" s="67"/>
      <c r="C194" s="60"/>
      <c r="D194" s="60"/>
      <c r="E194" s="61"/>
      <c r="F194" s="60"/>
      <c r="G194" s="60"/>
      <c r="H194" s="60"/>
      <c r="I194" s="62"/>
      <c r="J194" s="59">
        <f t="shared" si="5"/>
        <v>0</v>
      </c>
      <c r="K194" s="62"/>
      <c r="L194" s="62"/>
      <c r="M194" s="69">
        <f t="shared" si="4"/>
        <v>0</v>
      </c>
      <c r="N194" s="60"/>
      <c r="O194" s="61"/>
      <c r="P194" s="60"/>
      <c r="Q194" s="60"/>
      <c r="R194" s="60"/>
    </row>
    <row r="195" spans="1:18">
      <c r="A195" s="66">
        <v>193</v>
      </c>
      <c r="B195" s="66"/>
      <c r="C195" s="57"/>
      <c r="D195" s="57"/>
      <c r="E195" s="58"/>
      <c r="F195" s="57"/>
      <c r="G195" s="57"/>
      <c r="H195" s="57"/>
      <c r="I195" s="59"/>
      <c r="J195" s="59">
        <f t="shared" si="5"/>
        <v>0</v>
      </c>
      <c r="K195" s="59"/>
      <c r="L195" s="59"/>
      <c r="M195" s="69">
        <f t="shared" si="4"/>
        <v>0</v>
      </c>
      <c r="N195" s="57"/>
      <c r="O195" s="58"/>
      <c r="P195" s="57"/>
      <c r="Q195" s="57"/>
      <c r="R195" s="57"/>
    </row>
    <row r="196" spans="1:18">
      <c r="A196" s="67">
        <v>194</v>
      </c>
      <c r="B196" s="67"/>
      <c r="C196" s="60"/>
      <c r="D196" s="60"/>
      <c r="E196" s="61"/>
      <c r="F196" s="60"/>
      <c r="G196" s="60"/>
      <c r="H196" s="60"/>
      <c r="I196" s="62"/>
      <c r="J196" s="59">
        <f t="shared" si="5"/>
        <v>0</v>
      </c>
      <c r="K196" s="62"/>
      <c r="L196" s="62"/>
      <c r="M196" s="69">
        <f t="shared" si="4"/>
        <v>0</v>
      </c>
      <c r="N196" s="60"/>
      <c r="O196" s="61"/>
      <c r="P196" s="60"/>
      <c r="Q196" s="60"/>
      <c r="R196" s="60"/>
    </row>
    <row r="197" spans="1:18">
      <c r="A197" s="66">
        <v>195</v>
      </c>
      <c r="B197" s="66"/>
      <c r="C197" s="57"/>
      <c r="D197" s="57"/>
      <c r="E197" s="58"/>
      <c r="F197" s="57"/>
      <c r="G197" s="57"/>
      <c r="H197" s="57"/>
      <c r="I197" s="59"/>
      <c r="J197" s="59">
        <f t="shared" si="5"/>
        <v>0</v>
      </c>
      <c r="K197" s="59"/>
      <c r="L197" s="59"/>
      <c r="M197" s="69">
        <f t="shared" ref="M197:M202" si="6">I197-J197-K197-L197</f>
        <v>0</v>
      </c>
      <c r="N197" s="57"/>
      <c r="O197" s="58"/>
      <c r="P197" s="57"/>
      <c r="Q197" s="57"/>
      <c r="R197" s="57"/>
    </row>
    <row r="198" spans="1:18">
      <c r="A198" s="67">
        <v>196</v>
      </c>
      <c r="B198" s="67"/>
      <c r="C198" s="60"/>
      <c r="D198" s="60"/>
      <c r="E198" s="61"/>
      <c r="F198" s="60"/>
      <c r="G198" s="60"/>
      <c r="H198" s="60"/>
      <c r="I198" s="62"/>
      <c r="J198" s="59">
        <f t="shared" ref="J198:J202" si="7">I198*5%</f>
        <v>0</v>
      </c>
      <c r="K198" s="62"/>
      <c r="L198" s="62"/>
      <c r="M198" s="69">
        <f t="shared" si="6"/>
        <v>0</v>
      </c>
      <c r="N198" s="60"/>
      <c r="O198" s="61"/>
      <c r="P198" s="60"/>
      <c r="Q198" s="60"/>
      <c r="R198" s="60"/>
    </row>
    <row r="199" spans="1:18">
      <c r="A199" s="66">
        <v>197</v>
      </c>
      <c r="B199" s="66"/>
      <c r="C199" s="57"/>
      <c r="D199" s="57"/>
      <c r="E199" s="58"/>
      <c r="F199" s="57"/>
      <c r="G199" s="57"/>
      <c r="H199" s="57"/>
      <c r="I199" s="59"/>
      <c r="J199" s="59">
        <f t="shared" si="7"/>
        <v>0</v>
      </c>
      <c r="K199" s="59"/>
      <c r="L199" s="59"/>
      <c r="M199" s="69">
        <f t="shared" si="6"/>
        <v>0</v>
      </c>
      <c r="N199" s="57"/>
      <c r="O199" s="58"/>
      <c r="P199" s="57"/>
      <c r="Q199" s="57"/>
      <c r="R199" s="57"/>
    </row>
    <row r="200" spans="1:18">
      <c r="A200" s="67">
        <v>198</v>
      </c>
      <c r="B200" s="67"/>
      <c r="C200" s="60"/>
      <c r="D200" s="60"/>
      <c r="E200" s="61"/>
      <c r="F200" s="60"/>
      <c r="G200" s="60"/>
      <c r="H200" s="60"/>
      <c r="I200" s="62"/>
      <c r="J200" s="59">
        <f t="shared" si="7"/>
        <v>0</v>
      </c>
      <c r="K200" s="62"/>
      <c r="L200" s="62"/>
      <c r="M200" s="69">
        <f t="shared" si="6"/>
        <v>0</v>
      </c>
      <c r="N200" s="60"/>
      <c r="O200" s="61"/>
      <c r="P200" s="60"/>
      <c r="Q200" s="60"/>
      <c r="R200" s="60"/>
    </row>
    <row r="201" spans="1:18">
      <c r="A201" s="66">
        <v>199</v>
      </c>
      <c r="B201" s="66"/>
      <c r="C201" s="57"/>
      <c r="D201" s="57"/>
      <c r="E201" s="58"/>
      <c r="F201" s="57"/>
      <c r="G201" s="57"/>
      <c r="H201" s="57"/>
      <c r="I201" s="59"/>
      <c r="J201" s="59">
        <f t="shared" si="7"/>
        <v>0</v>
      </c>
      <c r="K201" s="59"/>
      <c r="L201" s="59"/>
      <c r="M201" s="69">
        <f t="shared" si="6"/>
        <v>0</v>
      </c>
      <c r="N201" s="57"/>
      <c r="O201" s="58"/>
      <c r="P201" s="57"/>
      <c r="Q201" s="57"/>
      <c r="R201" s="57"/>
    </row>
    <row r="202" spans="1:18">
      <c r="A202" s="67">
        <v>200</v>
      </c>
      <c r="B202" s="67"/>
      <c r="C202" s="60"/>
      <c r="D202" s="60"/>
      <c r="E202" s="61"/>
      <c r="F202" s="60"/>
      <c r="G202" s="60"/>
      <c r="H202" s="60"/>
      <c r="I202" s="62"/>
      <c r="J202" s="59">
        <f t="shared" si="7"/>
        <v>0</v>
      </c>
      <c r="K202" s="62"/>
      <c r="L202" s="62"/>
      <c r="M202" s="69">
        <f t="shared" si="6"/>
        <v>0</v>
      </c>
      <c r="N202" s="60"/>
      <c r="O202" s="61"/>
      <c r="P202" s="60"/>
      <c r="Q202" s="60"/>
      <c r="R202" s="60"/>
    </row>
    <row r="203" spans="1:18">
      <c r="A203" s="68"/>
      <c r="B203" s="68"/>
      <c r="C203" s="63"/>
      <c r="D203" s="63"/>
      <c r="E203" s="63"/>
      <c r="F203" s="64" t="s">
        <v>99</v>
      </c>
      <c r="G203" s="63"/>
      <c r="H203" s="63"/>
      <c r="I203" s="63"/>
      <c r="J203" s="63"/>
      <c r="K203" s="65">
        <f>SUM(K3:K202)</f>
        <v>0</v>
      </c>
      <c r="L203" s="65">
        <f>SUM(L3:L202)</f>
        <v>1607708</v>
      </c>
      <c r="M203" s="65"/>
      <c r="N203" s="63"/>
      <c r="O203" s="63"/>
      <c r="P203" s="63"/>
      <c r="Q203" s="63"/>
      <c r="R203" s="63"/>
    </row>
  </sheetData>
  <mergeCells count="1">
    <mergeCell ref="A1:R1"/>
  </mergeCells>
  <dataValidations count="1">
    <dataValidation type="list" allowBlank="1" sqref="N3:N202">
      <formula1>"Pending,Partial,Paid,On Hold,Cancelled"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Tiffin Supply</vt:lpstr>
      <vt:lpstr>Tiffin Supply Wash Worker</vt:lpstr>
      <vt:lpstr>Diesel Oill Supply</vt:lpstr>
      <vt:lpstr>ETP Rubbish Removing</vt:lpstr>
      <vt:lpstr>Daily Besic Labour </vt:lpstr>
      <vt:lpstr>Loading Unloading</vt:lpstr>
      <vt:lpstr>Embrodiry &amp; Print</vt:lpstr>
      <vt:lpstr>Constraction Meterial Supply</vt:lpstr>
      <vt:lpstr>ETP EID Hollydays</vt:lpstr>
      <vt:lpstr>Bill Statmant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SARK</dc:creator>
  <cp:lastModifiedBy>Noor E Alam</cp:lastModifiedBy>
  <dcterms:created xsi:type="dcterms:W3CDTF">2026-08-27T13:20:53Z</dcterms:created>
  <dcterms:modified xsi:type="dcterms:W3CDTF">2026-08-27T22:49:59Z</dcterms:modified>
</cp:coreProperties>
</file>